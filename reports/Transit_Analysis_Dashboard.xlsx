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Summary" sheetId="2" state="visible" r:id="rId2"/>
    <sheet name="City Demand" sheetId="3" state="visible" r:id="rId3"/>
    <sheet name="Route Demand" sheetId="4" state="visible" r:id="rId4"/>
    <sheet name="Hourly Demand" sheetId="5" state="visible" r:id="rId5"/>
    <sheet name="Weekend Comparison" sheetId="6" state="visible" r:id="rId6"/>
    <sheet name="Delay Analysis" sheetId="7" state="visible" r:id="rId7"/>
    <sheet name="Event Impact" sheetId="8" state="visible" r:id="rId8"/>
    <sheet name="Model Performance" sheetId="9" state="visible" r:id="rId9"/>
  </sheets>
  <definedNames>
    <definedName name="_xlnm._FilterDatabase" localSheetId="1" hidden="1">'Data Quality Summary'!$A$1:$B$18</definedName>
    <definedName name="_xlnm._FilterDatabase" localSheetId="2" hidden="1">'City Demand'!$A$1:$D$7</definedName>
    <definedName name="_xlnm._FilterDatabase" localSheetId="3" hidden="1">'Route Demand'!$A$1:$E$66</definedName>
    <definedName name="_xlnm._FilterDatabase" localSheetId="4" hidden="1">'Hourly Demand'!$A$1:$D$25</definedName>
    <definedName name="_xlnm._FilterDatabase" localSheetId="5" hidden="1">'Weekend Comparison'!$A$1:$D$3</definedName>
    <definedName name="_xlnm._FilterDatabase" localSheetId="6" hidden="1">'Delay Analysis'!$A$1:$F$66</definedName>
    <definedName name="_xlnm._FilterDatabase" localSheetId="7" hidden="1">'Event Impact'!$A$1:$D$3</definedName>
    <definedName name="_xlnm._FilterDatabase" localSheetId="8" hidden="1">'Model Performance'!$A$1:$B$20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City boardings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 Demand'!B1</f>
            </strRef>
          </tx>
          <spPr>
            <a:ln>
              <a:prstDash val="solid"/>
            </a:ln>
          </spPr>
          <cat>
            <numRef>
              <f>'City Demand'!$A$2:$A$7</f>
            </numRef>
          </cat>
          <val>
            <numRef>
              <f>'City Demand'!$B$2:$B$7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Route boardings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'Route Demand'!C1</f>
            </strRef>
          </tx>
          <spPr>
            <a:ln>
              <a:prstDash val="solid"/>
            </a:ln>
          </spPr>
          <cat>
            <numRef>
              <f>'Route Demand'!$B$2:$B$66</f>
            </numRef>
          </cat>
          <val>
            <numRef>
              <f>'Route Demand'!$C$2:$C$66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Hourly boardings</a:t>
            </a:r>
          </a:p>
        </rich>
      </tx>
    </title>
    <plotArea>
      <lineChart>
        <grouping val="standard"/>
        <ser>
          <idx val="0"/>
          <order val="0"/>
          <tx>
            <strRef>
              <f>'Hourly Demand'!B1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'Hourly Demand'!$A$2:$A$25</f>
            </numRef>
          </cat>
          <val>
            <numRef>
              <f>'Hourly Demand'!$B$2:$B$25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demand by day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'Weekend Comparison'!C1</f>
            </strRef>
          </tx>
          <spPr>
            <a:ln>
              <a:prstDash val="solid"/>
            </a:ln>
          </spPr>
          <cat>
            <numRef>
              <f>'Weekend Comparison'!$A$2:$A$3</f>
            </numRef>
          </cat>
          <val>
            <numRef>
              <f>'Weekend Comparison'!$C$2:$C$3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per route-hour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Repeated &gt;5-minute delays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'Delay Analysis'!D1</f>
            </strRef>
          </tx>
          <spPr>
            <a:ln>
              <a:prstDash val="solid"/>
            </a:ln>
          </spPr>
          <cat>
            <numRef>
              <f>'Delay Analysis'!$B$2:$B$66</f>
            </numRef>
          </cat>
          <val>
            <numRef>
              <f>'Delay Analysis'!$D$2:$D$66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 &gt;5 min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Observed holiday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'Event Impact'!C1</f>
            </strRef>
          </tx>
          <spPr>
            <a:ln>
              <a:prstDash val="solid"/>
            </a:ln>
          </spPr>
          <cat>
            <numRef>
              <f>'Event Impact'!$A$2:$A$3</f>
            </numRef>
          </cat>
          <val>
            <numRef>
              <f>'Event Impact'!$C$2:$C$3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per route-hour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70" customWidth="1" min="2" max="2"/>
  </cols>
  <sheetData>
    <row r="1" ht="28" customHeight="1">
      <c r="A1" s="1" t="inlineStr">
        <is>
          <t>CH16 · Public Transport Insight</t>
        </is>
      </c>
      <c r="B1" s="1" t="inlineStr">
        <is>
          <t>Measured result / interpretation</t>
        </is>
      </c>
    </row>
    <row r="2">
      <c r="A2" t="inlineStr">
        <is>
          <t>Source</t>
        </is>
      </c>
      <c r="B2" t="inlineStr">
        <is>
          <t>Fully synthetic Public Transportation Usage Dataset</t>
        </is>
      </c>
    </row>
    <row r="3">
      <c r="A3" t="inlineStr">
        <is>
          <t>Records</t>
        </is>
      </c>
      <c r="B3">
        <f>'Data Quality Summary'!B2</f>
        <v/>
      </c>
    </row>
    <row r="4">
      <c r="A4" t="inlineStr">
        <is>
          <t>Attributes in source</t>
        </is>
      </c>
      <c r="B4">
        <f>'Data Quality Summary'!B3</f>
        <v/>
      </c>
    </row>
    <row r="5">
      <c r="A5" t="inlineStr">
        <is>
          <t>Top city</t>
        </is>
      </c>
      <c r="B5" t="inlineStr">
        <is>
          <t>Tokyo</t>
        </is>
      </c>
    </row>
    <row r="6">
      <c r="A6" t="inlineStr">
        <is>
          <t>Top city boardings</t>
        </is>
      </c>
      <c r="B6">
        <f>'City Demand'!B2</f>
        <v/>
      </c>
    </row>
    <row r="7">
      <c r="A7" t="inlineStr">
        <is>
          <t>Peak hour</t>
        </is>
      </c>
      <c r="B7" t="inlineStr">
        <is>
          <t>18:00</t>
        </is>
      </c>
    </row>
    <row r="8">
      <c r="A8" t="inlineStr">
        <is>
          <t>Peak-hour boardings</t>
        </is>
      </c>
      <c r="B8">
        <f>'Hourly Demand'!B20</f>
        <v/>
      </c>
    </row>
    <row r="9">
      <c r="A9" t="inlineStr">
        <is>
          <t>Highest repeated-delay route</t>
        </is>
      </c>
      <c r="B9" t="inlineStr">
        <is>
          <t>Paris · RT_PAR_004</t>
        </is>
      </c>
    </row>
    <row r="10">
      <c r="A10" t="inlineStr">
        <is>
          <t>Route-hours with &gt;5 min delay</t>
        </is>
      </c>
      <c r="B10" s="2" t="n">
        <v>651</v>
      </c>
    </row>
    <row r="11">
      <c r="A11" t="inlineStr">
        <is>
          <t>Test MAE</t>
        </is>
      </c>
      <c r="B11">
        <f>'Model Performance'!B6</f>
        <v/>
      </c>
    </row>
    <row r="12">
      <c r="A12" t="inlineStr">
        <is>
          <t>Test RMSE</t>
        </is>
      </c>
      <c r="B12">
        <f>'Model Performance'!B7</f>
        <v/>
      </c>
    </row>
    <row r="13">
      <c r="A13" t="inlineStr">
        <is>
          <t>Test R²</t>
        </is>
      </c>
      <c r="B13">
        <f>'Model Performance'!B8</f>
        <v/>
      </c>
    </row>
    <row r="14">
      <c r="A14" t="inlineStr">
        <is>
          <t>Bus scheduling recommendation</t>
        </is>
      </c>
      <c r="B14" t="inlineStr">
        <is>
          <t>Trial capacity near the measured peak on high-demand bus routes</t>
        </is>
      </c>
    </row>
    <row r="15">
      <c r="A15" t="inlineStr">
        <is>
          <t>Delay recommendation</t>
        </is>
      </c>
      <c r="B15" t="inlineStr">
        <is>
          <t>Investigate repeated &gt;5 min delays before piloting traffic priority</t>
        </is>
      </c>
    </row>
    <row r="16">
      <c r="A16" t="inlineStr">
        <is>
          <t>Workbook method</t>
        </is>
      </c>
      <c r="B16" t="inlineStr">
        <is>
          <t>Pre-aggregated summary tables and native Excel charts; no native Pivot Tables</t>
        </is>
      </c>
    </row>
    <row r="17">
      <c r="A17" t="inlineStr">
        <is>
          <t>Limitations</t>
        </is>
      </c>
      <c r="B17" t="inlineStr">
        <is>
          <t>Synthetic; route-origin stop proxy; no special-event field; one-hour rolling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initial_records</t>
        </is>
      </c>
      <c r="B2" s="2" t="n">
        <v>569400</v>
      </c>
    </row>
    <row r="3">
      <c r="A3" t="inlineStr">
        <is>
          <t>initial_attributes</t>
        </is>
      </c>
      <c r="B3" s="2" t="n">
        <v>88</v>
      </c>
    </row>
    <row r="4">
      <c r="A4" t="inlineStr">
        <is>
          <t>total_missing_cells_all_88_columns</t>
        </is>
      </c>
      <c r="B4" s="2" t="n">
        <v>26845</v>
      </c>
    </row>
    <row r="5">
      <c r="A5" t="inlineStr">
        <is>
          <t>records_with_missing_values</t>
        </is>
      </c>
      <c r="B5" s="2" t="n">
        <v>10920</v>
      </c>
    </row>
    <row r="6">
      <c r="A6" t="inlineStr">
        <is>
          <t>duplicate_full_rows</t>
        </is>
      </c>
      <c r="B6" s="2" t="n">
        <v>0</v>
      </c>
    </row>
    <row r="7">
      <c r="A7" t="inlineStr">
        <is>
          <t>duplicate_trip_ids</t>
        </is>
      </c>
      <c r="B7" s="2" t="n">
        <v>0</v>
      </c>
    </row>
    <row r="8">
      <c r="A8" t="inlineStr">
        <is>
          <t>duplicate_city_route_hours</t>
        </is>
      </c>
      <c r="B8" s="2" t="n">
        <v>0</v>
      </c>
    </row>
    <row r="9">
      <c r="A9" t="inlineStr">
        <is>
          <t>negative_boarding_records</t>
        </is>
      </c>
      <c r="B9" s="2" t="n">
        <v>0</v>
      </c>
    </row>
    <row r="10">
      <c r="A10" t="inlineStr">
        <is>
          <t>invalid_occupancy_records</t>
        </is>
      </c>
      <c r="B10" s="2" t="n">
        <v>0</v>
      </c>
    </row>
    <row r="11">
      <c r="A11" t="inlineStr">
        <is>
          <t>invalid_delay_records</t>
        </is>
      </c>
      <c r="B11" s="2" t="n">
        <v>0</v>
      </c>
    </row>
    <row r="12">
      <c r="A12" t="inlineStr">
        <is>
          <t>invalid_timestamp_records</t>
        </is>
      </c>
      <c r="B12" s="2" t="n">
        <v>0</v>
      </c>
    </row>
    <row r="13">
      <c r="A13" t="inlineStr">
        <is>
          <t>invalid_records_union</t>
        </is>
      </c>
      <c r="B13" s="2" t="n">
        <v>0</v>
      </c>
    </row>
    <row r="14">
      <c r="A14" t="inlineStr">
        <is>
          <t>boarding_iqr_outliers_retained</t>
        </is>
      </c>
      <c r="B14" s="2" t="n">
        <v>88759</v>
      </c>
    </row>
    <row r="15">
      <c r="A15" t="inlineStr">
        <is>
          <t>boarding_iqr_upper_fence</t>
        </is>
      </c>
      <c r="B15" s="3" t="n">
        <v>2.5</v>
      </c>
    </row>
    <row r="16">
      <c r="A16" t="inlineStr">
        <is>
          <t>delay_iqr_outliers_retained</t>
        </is>
      </c>
      <c r="B16" s="2" t="n">
        <v>44568</v>
      </c>
    </row>
    <row r="17">
      <c r="A17" t="inlineStr">
        <is>
          <t>delay_iqr_upper_fence</t>
        </is>
      </c>
      <c r="B17" s="3" t="n">
        <v>0</v>
      </c>
    </row>
    <row r="18">
      <c r="A18" t="inlineStr">
        <is>
          <t>cleaned_records</t>
        </is>
      </c>
      <c r="B18" s="2" t="n">
        <v>569400</v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15" customWidth="1" min="4" max="4"/>
  </cols>
  <sheetData>
    <row r="1" ht="28" customHeight="1">
      <c r="A1" s="1" t="inlineStr">
        <is>
          <t>City</t>
        </is>
      </c>
      <c r="B1" s="1" t="inlineStr">
        <is>
          <t>Total boardings</t>
        </is>
      </c>
      <c r="C1" s="1" t="inlineStr">
        <is>
          <t>Mean per route-hour</t>
        </is>
      </c>
      <c r="D1" s="1" t="inlineStr">
        <is>
          <t>Route-hours</t>
        </is>
      </c>
    </row>
    <row r="2">
      <c r="A2" t="inlineStr">
        <is>
          <t>Tokyo</t>
        </is>
      </c>
      <c r="B2" s="2" t="n">
        <v>407473</v>
      </c>
      <c r="C2" s="3" t="n">
        <v>3.578090972953987</v>
      </c>
      <c r="D2" s="2" t="n">
        <v>113880</v>
      </c>
    </row>
    <row r="3">
      <c r="A3" t="inlineStr">
        <is>
          <t>New_York</t>
        </is>
      </c>
      <c r="B3" s="2" t="n">
        <v>130070</v>
      </c>
      <c r="C3" s="3" t="n">
        <v>1.649797057331304</v>
      </c>
      <c r="D3" s="2" t="n">
        <v>78840</v>
      </c>
    </row>
    <row r="4">
      <c r="A4" t="inlineStr">
        <is>
          <t>Paris</t>
        </is>
      </c>
      <c r="B4" s="2" t="n">
        <v>88606</v>
      </c>
      <c r="C4" s="3" t="n">
        <v>0.6321775114155251</v>
      </c>
      <c r="D4" s="2" t="n">
        <v>140160</v>
      </c>
    </row>
    <row r="5">
      <c r="A5" t="inlineStr">
        <is>
          <t>London</t>
        </is>
      </c>
      <c r="B5" s="2" t="n">
        <v>55974</v>
      </c>
      <c r="C5" s="3" t="n">
        <v>0.5808841843088418</v>
      </c>
      <c r="D5" s="2" t="n">
        <v>96360</v>
      </c>
    </row>
    <row r="6">
      <c r="A6" t="inlineStr">
        <is>
          <t>Singapore</t>
        </is>
      </c>
      <c r="B6" s="2" t="n">
        <v>14831</v>
      </c>
      <c r="C6" s="3" t="n">
        <v>0.2821727549467276</v>
      </c>
      <c r="D6" s="2" t="n">
        <v>52560</v>
      </c>
    </row>
    <row r="7">
      <c r="A7" t="inlineStr">
        <is>
          <t>Berlin</t>
        </is>
      </c>
      <c r="B7" s="2" t="n">
        <v>9733</v>
      </c>
      <c r="C7" s="3" t="n">
        <v>0.1111073059360731</v>
      </c>
      <c r="D7" s="2" t="n">
        <v>87600</v>
      </c>
    </row>
  </sheetData>
  <autoFilter ref="A1:D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1" customWidth="1" min="4" max="4"/>
    <col width="15" customWidth="1" min="5" max="5"/>
  </cols>
  <sheetData>
    <row r="1" ht="28" customHeight="1">
      <c r="A1" s="1" t="inlineStr">
        <is>
          <t>City</t>
        </is>
      </c>
      <c r="B1" s="1" t="inlineStr">
        <is>
          <t>Route</t>
        </is>
      </c>
      <c r="C1" s="1" t="inlineStr">
        <is>
          <t>Total boardings</t>
        </is>
      </c>
      <c r="D1" s="1" t="inlineStr">
        <is>
          <t>Mean per route-hour</t>
        </is>
      </c>
      <c r="E1" s="1" t="inlineStr">
        <is>
          <t>Route-hours</t>
        </is>
      </c>
    </row>
    <row r="2">
      <c r="A2" t="inlineStr">
        <is>
          <t>Tokyo</t>
        </is>
      </c>
      <c r="B2" t="inlineStr">
        <is>
          <t>RT_TOK_004</t>
        </is>
      </c>
      <c r="C2" s="2" t="n">
        <v>43063</v>
      </c>
      <c r="D2" s="3" t="n">
        <v>4.915867579908676</v>
      </c>
      <c r="E2" s="2" t="n">
        <v>8760</v>
      </c>
    </row>
    <row r="3">
      <c r="A3" t="inlineStr">
        <is>
          <t>Tokyo</t>
        </is>
      </c>
      <c r="B3" t="inlineStr">
        <is>
          <t>RT_TOK_008</t>
        </is>
      </c>
      <c r="C3" s="2" t="n">
        <v>42799</v>
      </c>
      <c r="D3" s="3" t="n">
        <v>4.885730593607306</v>
      </c>
      <c r="E3" s="2" t="n">
        <v>8760</v>
      </c>
    </row>
    <row r="4">
      <c r="A4" t="inlineStr">
        <is>
          <t>Tokyo</t>
        </is>
      </c>
      <c r="B4" t="inlineStr">
        <is>
          <t>RT_TOK_007</t>
        </is>
      </c>
      <c r="C4" s="2" t="n">
        <v>42755</v>
      </c>
      <c r="D4" s="3" t="n">
        <v>4.880707762557078</v>
      </c>
      <c r="E4" s="2" t="n">
        <v>8760</v>
      </c>
    </row>
    <row r="5">
      <c r="A5" t="inlineStr">
        <is>
          <t>Tokyo</t>
        </is>
      </c>
      <c r="B5" t="inlineStr">
        <is>
          <t>RT_TOK_006</t>
        </is>
      </c>
      <c r="C5" s="2" t="n">
        <v>42698</v>
      </c>
      <c r="D5" s="3" t="n">
        <v>4.874200913242009</v>
      </c>
      <c r="E5" s="2" t="n">
        <v>8760</v>
      </c>
    </row>
    <row r="6">
      <c r="A6" t="inlineStr">
        <is>
          <t>Tokyo</t>
        </is>
      </c>
      <c r="B6" t="inlineStr">
        <is>
          <t>RT_TOK_005</t>
        </is>
      </c>
      <c r="C6" s="2" t="n">
        <v>42694</v>
      </c>
      <c r="D6" s="3" t="n">
        <v>4.873744292237443</v>
      </c>
      <c r="E6" s="2" t="n">
        <v>8760</v>
      </c>
    </row>
    <row r="7">
      <c r="A7" t="inlineStr">
        <is>
          <t>Tokyo</t>
        </is>
      </c>
      <c r="B7" t="inlineStr">
        <is>
          <t>RT_TOK_010</t>
        </is>
      </c>
      <c r="C7" s="2" t="n">
        <v>33393</v>
      </c>
      <c r="D7" s="3" t="n">
        <v>3.811986301369863</v>
      </c>
      <c r="E7" s="2" t="n">
        <v>8760</v>
      </c>
    </row>
    <row r="8">
      <c r="A8" t="inlineStr">
        <is>
          <t>Tokyo</t>
        </is>
      </c>
      <c r="B8" t="inlineStr">
        <is>
          <t>RT_TOK_011</t>
        </is>
      </c>
      <c r="C8" s="2" t="n">
        <v>33354</v>
      </c>
      <c r="D8" s="3" t="n">
        <v>3.807534246575342</v>
      </c>
      <c r="E8" s="2" t="n">
        <v>8760</v>
      </c>
    </row>
    <row r="9">
      <c r="A9" t="inlineStr">
        <is>
          <t>Tokyo</t>
        </is>
      </c>
      <c r="B9" t="inlineStr">
        <is>
          <t>RT_TOK_009</t>
        </is>
      </c>
      <c r="C9" s="2" t="n">
        <v>21236</v>
      </c>
      <c r="D9" s="3" t="n">
        <v>2.424200913242009</v>
      </c>
      <c r="E9" s="2" t="n">
        <v>8760</v>
      </c>
    </row>
    <row r="10">
      <c r="A10" t="inlineStr">
        <is>
          <t>Tokyo</t>
        </is>
      </c>
      <c r="B10" t="inlineStr">
        <is>
          <t>RT_TOK_003</t>
        </is>
      </c>
      <c r="C10" s="2" t="n">
        <v>21173</v>
      </c>
      <c r="D10" s="3" t="n">
        <v>2.417009132420092</v>
      </c>
      <c r="E10" s="2" t="n">
        <v>8760</v>
      </c>
    </row>
    <row r="11">
      <c r="A11" t="inlineStr">
        <is>
          <t>Tokyo</t>
        </is>
      </c>
      <c r="B11" t="inlineStr">
        <is>
          <t>RT_TOK_000</t>
        </is>
      </c>
      <c r="C11" s="2" t="n">
        <v>21142</v>
      </c>
      <c r="D11" s="3" t="n">
        <v>2.413470319634703</v>
      </c>
      <c r="E11" s="2" t="n">
        <v>8760</v>
      </c>
    </row>
    <row r="12">
      <c r="A12" t="inlineStr">
        <is>
          <t>Tokyo</t>
        </is>
      </c>
      <c r="B12" t="inlineStr">
        <is>
          <t>RT_TOK_001</t>
        </is>
      </c>
      <c r="C12" s="2" t="n">
        <v>21067</v>
      </c>
      <c r="D12" s="3" t="n">
        <v>2.404908675799087</v>
      </c>
      <c r="E12" s="2" t="n">
        <v>8760</v>
      </c>
    </row>
    <row r="13">
      <c r="A13" t="inlineStr">
        <is>
          <t>Tokyo</t>
        </is>
      </c>
      <c r="B13" t="inlineStr">
        <is>
          <t>RT_TOK_012</t>
        </is>
      </c>
      <c r="C13" s="2" t="n">
        <v>21063</v>
      </c>
      <c r="D13" s="3" t="n">
        <v>2.404452054794521</v>
      </c>
      <c r="E13" s="2" t="n">
        <v>8760</v>
      </c>
    </row>
    <row r="14">
      <c r="A14" t="inlineStr">
        <is>
          <t>Tokyo</t>
        </is>
      </c>
      <c r="B14" t="inlineStr">
        <is>
          <t>RT_TOK_002</t>
        </is>
      </c>
      <c r="C14" s="2" t="n">
        <v>21036</v>
      </c>
      <c r="D14" s="3" t="n">
        <v>2.401369863013699</v>
      </c>
      <c r="E14" s="2" t="n">
        <v>8760</v>
      </c>
    </row>
    <row r="15">
      <c r="A15" t="inlineStr">
        <is>
          <t>New_York</t>
        </is>
      </c>
      <c r="B15" t="inlineStr">
        <is>
          <t>RT_NEW_003</t>
        </is>
      </c>
      <c r="C15" s="2" t="n">
        <v>20275</v>
      </c>
      <c r="D15" s="3" t="n">
        <v>2.314497716894977</v>
      </c>
      <c r="E15" s="2" t="n">
        <v>8760</v>
      </c>
    </row>
    <row r="16">
      <c r="A16" t="inlineStr">
        <is>
          <t>New_York</t>
        </is>
      </c>
      <c r="B16" t="inlineStr">
        <is>
          <t>RT_NEW_007</t>
        </is>
      </c>
      <c r="C16" s="2" t="n">
        <v>20202</v>
      </c>
      <c r="D16" s="3" t="n">
        <v>2.306164383561644</v>
      </c>
      <c r="E16" s="2" t="n">
        <v>8760</v>
      </c>
    </row>
    <row r="17">
      <c r="A17" t="inlineStr">
        <is>
          <t>New_York</t>
        </is>
      </c>
      <c r="B17" t="inlineStr">
        <is>
          <t>RT_NEW_005</t>
        </is>
      </c>
      <c r="C17" s="2" t="n">
        <v>15597</v>
      </c>
      <c r="D17" s="3" t="n">
        <v>1.780479452054795</v>
      </c>
      <c r="E17" s="2" t="n">
        <v>8760</v>
      </c>
    </row>
    <row r="18">
      <c r="A18" t="inlineStr">
        <is>
          <t>New_York</t>
        </is>
      </c>
      <c r="B18" t="inlineStr">
        <is>
          <t>RT_NEW_004</t>
        </is>
      </c>
      <c r="C18" s="2" t="n">
        <v>15502</v>
      </c>
      <c r="D18" s="3" t="n">
        <v>1.769634703196347</v>
      </c>
      <c r="E18" s="2" t="n">
        <v>8760</v>
      </c>
    </row>
    <row r="19">
      <c r="A19" t="inlineStr">
        <is>
          <t>New_York</t>
        </is>
      </c>
      <c r="B19" t="inlineStr">
        <is>
          <t>RT_NEW_006</t>
        </is>
      </c>
      <c r="C19" s="2" t="n">
        <v>15485</v>
      </c>
      <c r="D19" s="3" t="n">
        <v>1.767694063926941</v>
      </c>
      <c r="E19" s="2" t="n">
        <v>8760</v>
      </c>
    </row>
    <row r="20">
      <c r="A20" t="inlineStr">
        <is>
          <t>New_York</t>
        </is>
      </c>
      <c r="B20" t="inlineStr">
        <is>
          <t>RT_NEW_002</t>
        </is>
      </c>
      <c r="C20" s="2" t="n">
        <v>15395</v>
      </c>
      <c r="D20" s="3" t="n">
        <v>1.757420091324201</v>
      </c>
      <c r="E20" s="2" t="n">
        <v>8760</v>
      </c>
    </row>
    <row r="21">
      <c r="A21" t="inlineStr">
        <is>
          <t>Paris</t>
        </is>
      </c>
      <c r="B21" t="inlineStr">
        <is>
          <t>RT_PAR_013</t>
        </is>
      </c>
      <c r="C21" s="2" t="n">
        <v>10266</v>
      </c>
      <c r="D21" s="3" t="n">
        <v>1.171917808219178</v>
      </c>
      <c r="E21" s="2" t="n">
        <v>8760</v>
      </c>
    </row>
    <row r="22">
      <c r="A22" t="inlineStr">
        <is>
          <t>Paris</t>
        </is>
      </c>
      <c r="B22" t="inlineStr">
        <is>
          <t>RT_PAR_003</t>
        </is>
      </c>
      <c r="C22" s="2" t="n">
        <v>10259</v>
      </c>
      <c r="D22" s="3" t="n">
        <v>1.171118721461187</v>
      </c>
      <c r="E22" s="2" t="n">
        <v>8760</v>
      </c>
    </row>
    <row r="23">
      <c r="A23" t="inlineStr">
        <is>
          <t>Paris</t>
        </is>
      </c>
      <c r="B23" t="inlineStr">
        <is>
          <t>RT_PAR_000</t>
        </is>
      </c>
      <c r="C23" s="2" t="n">
        <v>10224</v>
      </c>
      <c r="D23" s="3" t="n">
        <v>1.167123287671233</v>
      </c>
      <c r="E23" s="2" t="n">
        <v>8760</v>
      </c>
    </row>
    <row r="24">
      <c r="A24" t="inlineStr">
        <is>
          <t>New_York</t>
        </is>
      </c>
      <c r="B24" t="inlineStr">
        <is>
          <t>RT_NEW_001</t>
        </is>
      </c>
      <c r="C24" s="2" t="n">
        <v>9252</v>
      </c>
      <c r="D24" s="3" t="n">
        <v>1.056164383561644</v>
      </c>
      <c r="E24" s="2" t="n">
        <v>8760</v>
      </c>
    </row>
    <row r="25">
      <c r="A25" t="inlineStr">
        <is>
          <t>New_York</t>
        </is>
      </c>
      <c r="B25" t="inlineStr">
        <is>
          <t>RT_NEW_008</t>
        </is>
      </c>
      <c r="C25" s="2" t="n">
        <v>9194</v>
      </c>
      <c r="D25" s="3" t="n">
        <v>1.049543378995434</v>
      </c>
      <c r="E25" s="2" t="n">
        <v>8760</v>
      </c>
    </row>
    <row r="26">
      <c r="A26" t="inlineStr">
        <is>
          <t>New_York</t>
        </is>
      </c>
      <c r="B26" t="inlineStr">
        <is>
          <t>RT_NEW_000</t>
        </is>
      </c>
      <c r="C26" s="2" t="n">
        <v>9168</v>
      </c>
      <c r="D26" s="3" t="n">
        <v>1.046575342465753</v>
      </c>
      <c r="E26" s="2" t="n">
        <v>8760</v>
      </c>
    </row>
    <row r="27">
      <c r="A27" t="inlineStr">
        <is>
          <t>London</t>
        </is>
      </c>
      <c r="B27" t="inlineStr">
        <is>
          <t>RT_LON_003</t>
        </is>
      </c>
      <c r="C27" s="2" t="n">
        <v>7811</v>
      </c>
      <c r="D27" s="3" t="n">
        <v>0.8916666666666667</v>
      </c>
      <c r="E27" s="2" t="n">
        <v>8760</v>
      </c>
    </row>
    <row r="28">
      <c r="A28" t="inlineStr">
        <is>
          <t>London</t>
        </is>
      </c>
      <c r="B28" t="inlineStr">
        <is>
          <t>RT_LON_002</t>
        </is>
      </c>
      <c r="C28" s="2" t="n">
        <v>7801</v>
      </c>
      <c r="D28" s="3" t="n">
        <v>0.8905251141552512</v>
      </c>
      <c r="E28" s="2" t="n">
        <v>8760</v>
      </c>
    </row>
    <row r="29">
      <c r="A29" t="inlineStr">
        <is>
          <t>London</t>
        </is>
      </c>
      <c r="B29" t="inlineStr">
        <is>
          <t>RT_LON_008</t>
        </is>
      </c>
      <c r="C29" s="2" t="n">
        <v>7724</v>
      </c>
      <c r="D29" s="3" t="n">
        <v>0.8817351598173516</v>
      </c>
      <c r="E29" s="2" t="n">
        <v>8760</v>
      </c>
    </row>
    <row r="30">
      <c r="A30" t="inlineStr">
        <is>
          <t>Paris</t>
        </is>
      </c>
      <c r="B30" t="inlineStr">
        <is>
          <t>RT_PAR_002</t>
        </is>
      </c>
      <c r="C30" s="2" t="n">
        <v>7637</v>
      </c>
      <c r="D30" s="3" t="n">
        <v>0.8718036529680365</v>
      </c>
      <c r="E30" s="2" t="n">
        <v>8760</v>
      </c>
    </row>
    <row r="31">
      <c r="A31" t="inlineStr">
        <is>
          <t>Paris</t>
        </is>
      </c>
      <c r="B31" t="inlineStr">
        <is>
          <t>RT_PAR_012</t>
        </is>
      </c>
      <c r="C31" s="2" t="n">
        <v>7561</v>
      </c>
      <c r="D31" s="3" t="n">
        <v>0.8631278538812786</v>
      </c>
      <c r="E31" s="2" t="n">
        <v>8760</v>
      </c>
    </row>
    <row r="32">
      <c r="A32" t="inlineStr">
        <is>
          <t>Paris</t>
        </is>
      </c>
      <c r="B32" t="inlineStr">
        <is>
          <t>RT_PAR_005</t>
        </is>
      </c>
      <c r="C32" s="2" t="n">
        <v>7559</v>
      </c>
      <c r="D32" s="3" t="n">
        <v>0.8628995433789954</v>
      </c>
      <c r="E32" s="2" t="n">
        <v>8760</v>
      </c>
    </row>
    <row r="33">
      <c r="A33" t="inlineStr">
        <is>
          <t>Paris</t>
        </is>
      </c>
      <c r="B33" t="inlineStr">
        <is>
          <t>RT_PAR_001</t>
        </is>
      </c>
      <c r="C33" s="2" t="n">
        <v>7550</v>
      </c>
      <c r="D33" s="3" t="n">
        <v>0.8618721461187214</v>
      </c>
      <c r="E33" s="2" t="n">
        <v>8760</v>
      </c>
    </row>
    <row r="34">
      <c r="A34" t="inlineStr">
        <is>
          <t>London</t>
        </is>
      </c>
      <c r="B34" t="inlineStr">
        <is>
          <t>RT_LON_000</t>
        </is>
      </c>
      <c r="C34" s="2" t="n">
        <v>5682</v>
      </c>
      <c r="D34" s="3" t="n">
        <v>0.6486301369863013</v>
      </c>
      <c r="E34" s="2" t="n">
        <v>8760</v>
      </c>
    </row>
    <row r="35">
      <c r="A35" t="inlineStr">
        <is>
          <t>London</t>
        </is>
      </c>
      <c r="B35" t="inlineStr">
        <is>
          <t>RT_LON_009</t>
        </is>
      </c>
      <c r="C35" s="2" t="n">
        <v>5656</v>
      </c>
      <c r="D35" s="3" t="n">
        <v>0.645662100456621</v>
      </c>
      <c r="E35" s="2" t="n">
        <v>8760</v>
      </c>
    </row>
    <row r="36">
      <c r="A36" t="inlineStr">
        <is>
          <t>London</t>
        </is>
      </c>
      <c r="B36" t="inlineStr">
        <is>
          <t>RT_LON_006</t>
        </is>
      </c>
      <c r="C36" s="2" t="n">
        <v>5638</v>
      </c>
      <c r="D36" s="3" t="n">
        <v>0.6436073059360731</v>
      </c>
      <c r="E36" s="2" t="n">
        <v>8760</v>
      </c>
    </row>
    <row r="37">
      <c r="A37" t="inlineStr">
        <is>
          <t>London</t>
        </is>
      </c>
      <c r="B37" t="inlineStr">
        <is>
          <t>RT_LON_010</t>
        </is>
      </c>
      <c r="C37" s="2" t="n">
        <v>5583</v>
      </c>
      <c r="D37" s="3" t="n">
        <v>0.6373287671232877</v>
      </c>
      <c r="E37" s="2" t="n">
        <v>8760</v>
      </c>
    </row>
    <row r="38">
      <c r="A38" t="inlineStr">
        <is>
          <t>Singapore</t>
        </is>
      </c>
      <c r="B38" t="inlineStr">
        <is>
          <t>RT_SIN_004</t>
        </is>
      </c>
      <c r="C38" s="2" t="n">
        <v>3958</v>
      </c>
      <c r="D38" s="3" t="n">
        <v>0.4518264840182649</v>
      </c>
      <c r="E38" s="2" t="n">
        <v>8760</v>
      </c>
    </row>
    <row r="39">
      <c r="A39" t="inlineStr">
        <is>
          <t>Singapore</t>
        </is>
      </c>
      <c r="B39" t="inlineStr">
        <is>
          <t>RT_SIN_000</t>
        </is>
      </c>
      <c r="C39" s="2" t="n">
        <v>3945</v>
      </c>
      <c r="D39" s="3" t="n">
        <v>0.4503424657534247</v>
      </c>
      <c r="E39" s="2" t="n">
        <v>8760</v>
      </c>
    </row>
    <row r="40">
      <c r="A40" t="inlineStr">
        <is>
          <t>Singapore</t>
        </is>
      </c>
      <c r="B40" t="inlineStr">
        <is>
          <t>RT_SIN_003</t>
        </is>
      </c>
      <c r="C40" s="2" t="n">
        <v>3897</v>
      </c>
      <c r="D40" s="3" t="n">
        <v>0.4448630136986301</v>
      </c>
      <c r="E40" s="2" t="n">
        <v>8760</v>
      </c>
    </row>
    <row r="41">
      <c r="A41" t="inlineStr">
        <is>
          <t>Paris</t>
        </is>
      </c>
      <c r="B41" t="inlineStr">
        <is>
          <t>RT_PAR_004</t>
        </is>
      </c>
      <c r="C41" s="2" t="n">
        <v>3888</v>
      </c>
      <c r="D41" s="3" t="n">
        <v>0.4438356164383562</v>
      </c>
      <c r="E41" s="2" t="n">
        <v>8760</v>
      </c>
    </row>
    <row r="42">
      <c r="A42" t="inlineStr">
        <is>
          <t>Paris</t>
        </is>
      </c>
      <c r="B42" t="inlineStr">
        <is>
          <t>RT_PAR_006</t>
        </is>
      </c>
      <c r="C42" s="2" t="n">
        <v>3885</v>
      </c>
      <c r="D42" s="3" t="n">
        <v>0.4434931506849315</v>
      </c>
      <c r="E42" s="2" t="n">
        <v>8760</v>
      </c>
    </row>
    <row r="43">
      <c r="A43" t="inlineStr">
        <is>
          <t>Paris</t>
        </is>
      </c>
      <c r="B43" t="inlineStr">
        <is>
          <t>RT_PAR_014</t>
        </is>
      </c>
      <c r="C43" s="2" t="n">
        <v>3868</v>
      </c>
      <c r="D43" s="3" t="n">
        <v>0.4415525114155251</v>
      </c>
      <c r="E43" s="2" t="n">
        <v>8760</v>
      </c>
    </row>
    <row r="44">
      <c r="A44" t="inlineStr">
        <is>
          <t>Paris</t>
        </is>
      </c>
      <c r="B44" t="inlineStr">
        <is>
          <t>RT_PAR_015</t>
        </is>
      </c>
      <c r="C44" s="2" t="n">
        <v>3849</v>
      </c>
      <c r="D44" s="3" t="n">
        <v>0.4393835616438356</v>
      </c>
      <c r="E44" s="2" t="n">
        <v>8760</v>
      </c>
    </row>
    <row r="45">
      <c r="A45" t="inlineStr">
        <is>
          <t>London</t>
        </is>
      </c>
      <c r="B45" t="inlineStr">
        <is>
          <t>RT_LON_004</t>
        </is>
      </c>
      <c r="C45" s="2" t="n">
        <v>2837</v>
      </c>
      <c r="D45" s="3" t="n">
        <v>0.3238584474885845</v>
      </c>
      <c r="E45" s="2" t="n">
        <v>8760</v>
      </c>
    </row>
    <row r="46">
      <c r="A46" t="inlineStr">
        <is>
          <t>London</t>
        </is>
      </c>
      <c r="B46" t="inlineStr">
        <is>
          <t>RT_LON_001</t>
        </is>
      </c>
      <c r="C46" s="2" t="n">
        <v>2815</v>
      </c>
      <c r="D46" s="3" t="n">
        <v>0.3213470319634703</v>
      </c>
      <c r="E46" s="2" t="n">
        <v>8760</v>
      </c>
    </row>
    <row r="47">
      <c r="A47" t="inlineStr">
        <is>
          <t>London</t>
        </is>
      </c>
      <c r="B47" t="inlineStr">
        <is>
          <t>RT_LON_007</t>
        </is>
      </c>
      <c r="C47" s="2" t="n">
        <v>2801</v>
      </c>
      <c r="D47" s="3" t="n">
        <v>0.3197488584474886</v>
      </c>
      <c r="E47" s="2" t="n">
        <v>8760</v>
      </c>
    </row>
    <row r="48">
      <c r="A48" t="inlineStr">
        <is>
          <t>Paris</t>
        </is>
      </c>
      <c r="B48" t="inlineStr">
        <is>
          <t>RT_PAR_010</t>
        </is>
      </c>
      <c r="C48" s="2" t="n">
        <v>2443</v>
      </c>
      <c r="D48" s="3" t="n">
        <v>0.2788812785388128</v>
      </c>
      <c r="E48" s="2" t="n">
        <v>8760</v>
      </c>
    </row>
    <row r="49">
      <c r="A49" t="inlineStr">
        <is>
          <t>Paris</t>
        </is>
      </c>
      <c r="B49" t="inlineStr">
        <is>
          <t>RT_PAR_008</t>
        </is>
      </c>
      <c r="C49" s="2" t="n">
        <v>2423</v>
      </c>
      <c r="D49" s="3" t="n">
        <v>0.2765981735159818</v>
      </c>
      <c r="E49" s="2" t="n">
        <v>8760</v>
      </c>
    </row>
    <row r="50">
      <c r="A50" t="inlineStr">
        <is>
          <t>Paris</t>
        </is>
      </c>
      <c r="B50" t="inlineStr">
        <is>
          <t>RT_PAR_007</t>
        </is>
      </c>
      <c r="C50" s="2" t="n">
        <v>2416</v>
      </c>
      <c r="D50" s="3" t="n">
        <v>0.2757990867579909</v>
      </c>
      <c r="E50" s="2" t="n">
        <v>8760</v>
      </c>
    </row>
    <row r="51">
      <c r="A51" t="inlineStr">
        <is>
          <t>Paris</t>
        </is>
      </c>
      <c r="B51" t="inlineStr">
        <is>
          <t>RT_PAR_011</t>
        </is>
      </c>
      <c r="C51" s="2" t="n">
        <v>2413</v>
      </c>
      <c r="D51" s="3" t="n">
        <v>0.2754566210045662</v>
      </c>
      <c r="E51" s="2" t="n">
        <v>8760</v>
      </c>
    </row>
    <row r="52">
      <c r="A52" t="inlineStr">
        <is>
          <t>Paris</t>
        </is>
      </c>
      <c r="B52" t="inlineStr">
        <is>
          <t>RT_PAR_009</t>
        </is>
      </c>
      <c r="C52" s="2" t="n">
        <v>2365</v>
      </c>
      <c r="D52" s="3" t="n">
        <v>0.2699771689497717</v>
      </c>
      <c r="E52" s="2" t="n">
        <v>8760</v>
      </c>
    </row>
    <row r="53">
      <c r="A53" t="inlineStr">
        <is>
          <t>Berlin</t>
        </is>
      </c>
      <c r="B53" t="inlineStr">
        <is>
          <t>RT_BER_001</t>
        </is>
      </c>
      <c r="C53" s="2" t="n">
        <v>1683</v>
      </c>
      <c r="D53" s="3" t="n">
        <v>0.1921232876712329</v>
      </c>
      <c r="E53" s="2" t="n">
        <v>8760</v>
      </c>
    </row>
    <row r="54">
      <c r="A54" t="inlineStr">
        <is>
          <t>Berlin</t>
        </is>
      </c>
      <c r="B54" t="inlineStr">
        <is>
          <t>RT_BER_009</t>
        </is>
      </c>
      <c r="C54" s="2" t="n">
        <v>1679</v>
      </c>
      <c r="D54" s="3" t="n">
        <v>0.1916666666666667</v>
      </c>
      <c r="E54" s="2" t="n">
        <v>8760</v>
      </c>
    </row>
    <row r="55">
      <c r="A55" t="inlineStr">
        <is>
          <t>Berlin</t>
        </is>
      </c>
      <c r="B55" t="inlineStr">
        <is>
          <t>RT_BER_004</t>
        </is>
      </c>
      <c r="C55" s="2" t="n">
        <v>1669</v>
      </c>
      <c r="D55" s="3" t="n">
        <v>0.1905251141552511</v>
      </c>
      <c r="E55" s="2" t="n">
        <v>8760</v>
      </c>
    </row>
    <row r="56">
      <c r="A56" t="inlineStr">
        <is>
          <t>London</t>
        </is>
      </c>
      <c r="B56" t="inlineStr">
        <is>
          <t>RT_LON_005</t>
        </is>
      </c>
      <c r="C56" s="2" t="n">
        <v>1626</v>
      </c>
      <c r="D56" s="3" t="n">
        <v>0.1856164383561644</v>
      </c>
      <c r="E56" s="2" t="n">
        <v>8760</v>
      </c>
    </row>
    <row r="57">
      <c r="A57" t="inlineStr">
        <is>
          <t>Singapore</t>
        </is>
      </c>
      <c r="B57" t="inlineStr">
        <is>
          <t>RT_SIN_005</t>
        </is>
      </c>
      <c r="C57" s="2" t="n">
        <v>1142</v>
      </c>
      <c r="D57" s="3" t="n">
        <v>0.130365296803653</v>
      </c>
      <c r="E57" s="2" t="n">
        <v>8760</v>
      </c>
    </row>
    <row r="58">
      <c r="A58" t="inlineStr">
        <is>
          <t>Singapore</t>
        </is>
      </c>
      <c r="B58" t="inlineStr">
        <is>
          <t>RT_SIN_002</t>
        </is>
      </c>
      <c r="C58" s="2" t="n">
        <v>1138</v>
      </c>
      <c r="D58" s="3" t="n">
        <v>0.1299086757990868</v>
      </c>
      <c r="E58" s="2" t="n">
        <v>8760</v>
      </c>
    </row>
    <row r="59">
      <c r="A59" t="inlineStr">
        <is>
          <t>Berlin</t>
        </is>
      </c>
      <c r="B59" t="inlineStr">
        <is>
          <t>RT_BER_003</t>
        </is>
      </c>
      <c r="C59" s="2" t="n">
        <v>967</v>
      </c>
      <c r="D59" s="3" t="n">
        <v>0.1103881278538813</v>
      </c>
      <c r="E59" s="2" t="n">
        <v>8760</v>
      </c>
    </row>
    <row r="60">
      <c r="A60" t="inlineStr">
        <is>
          <t>Berlin</t>
        </is>
      </c>
      <c r="B60" t="inlineStr">
        <is>
          <t>RT_BER_002</t>
        </is>
      </c>
      <c r="C60" s="2" t="n">
        <v>945</v>
      </c>
      <c r="D60" s="3" t="n">
        <v>0.1078767123287671</v>
      </c>
      <c r="E60" s="2" t="n">
        <v>8760</v>
      </c>
    </row>
    <row r="61">
      <c r="A61" t="inlineStr">
        <is>
          <t>Berlin</t>
        </is>
      </c>
      <c r="B61" t="inlineStr">
        <is>
          <t>RT_BER_007</t>
        </is>
      </c>
      <c r="C61" s="2" t="n">
        <v>936</v>
      </c>
      <c r="D61" s="3" t="n">
        <v>0.1068493150684932</v>
      </c>
      <c r="E61" s="2" t="n">
        <v>8760</v>
      </c>
    </row>
    <row r="62">
      <c r="A62" t="inlineStr">
        <is>
          <t>Berlin</t>
        </is>
      </c>
      <c r="B62" t="inlineStr">
        <is>
          <t>RT_BER_005</t>
        </is>
      </c>
      <c r="C62" s="2" t="n">
        <v>934</v>
      </c>
      <c r="D62" s="3" t="n">
        <v>0.10662100456621</v>
      </c>
      <c r="E62" s="2" t="n">
        <v>8760</v>
      </c>
    </row>
    <row r="63">
      <c r="A63" t="inlineStr">
        <is>
          <t>Berlin</t>
        </is>
      </c>
      <c r="B63" t="inlineStr">
        <is>
          <t>RT_BER_006</t>
        </is>
      </c>
      <c r="C63" s="2" t="n">
        <v>920</v>
      </c>
      <c r="D63" s="3" t="n">
        <v>0.1050228310502283</v>
      </c>
      <c r="E63" s="2" t="n">
        <v>8760</v>
      </c>
    </row>
    <row r="64">
      <c r="A64" t="inlineStr">
        <is>
          <t>Singapore</t>
        </is>
      </c>
      <c r="B64" t="inlineStr">
        <is>
          <t>RT_SIN_001</t>
        </is>
      </c>
      <c r="C64" s="2" t="n">
        <v>751</v>
      </c>
      <c r="D64" s="3" t="n">
        <v>0.08573059360730594</v>
      </c>
      <c r="E64" s="2" t="n">
        <v>8760</v>
      </c>
    </row>
    <row r="65">
      <c r="A65" t="inlineStr">
        <is>
          <t>Berlin</t>
        </is>
      </c>
      <c r="B65" t="inlineStr">
        <is>
          <t>RT_BER_000</t>
        </is>
      </c>
      <c r="C65" s="2" t="n">
        <v>0</v>
      </c>
      <c r="D65" s="3" t="n">
        <v>0</v>
      </c>
      <c r="E65" s="2" t="n">
        <v>8760</v>
      </c>
    </row>
    <row r="66">
      <c r="A66" t="inlineStr">
        <is>
          <t>Berlin</t>
        </is>
      </c>
      <c r="B66" t="inlineStr">
        <is>
          <t>RT_BER_008</t>
        </is>
      </c>
      <c r="C66" s="2" t="n">
        <v>0</v>
      </c>
      <c r="D66" s="3" t="n">
        <v>0</v>
      </c>
      <c r="E66" s="2" t="n">
        <v>8760</v>
      </c>
    </row>
  </sheetData>
  <autoFilter ref="A1:E66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15" customWidth="1" min="4" max="4"/>
  </cols>
  <sheetData>
    <row r="1" ht="28" customHeight="1">
      <c r="A1" s="1" t="inlineStr">
        <is>
          <t>Hour</t>
        </is>
      </c>
      <c r="B1" s="1" t="inlineStr">
        <is>
          <t>Total boardings</t>
        </is>
      </c>
      <c r="C1" s="1" t="inlineStr">
        <is>
          <t>Mean per route-hour</t>
        </is>
      </c>
      <c r="D1" s="1" t="inlineStr">
        <is>
          <t>Route-hours</t>
        </is>
      </c>
    </row>
    <row r="2">
      <c r="A2" s="2" t="n">
        <v>0</v>
      </c>
      <c r="B2" s="2" t="n">
        <v>1791</v>
      </c>
      <c r="C2" s="3" t="n">
        <v>0.07548998946259221</v>
      </c>
      <c r="D2" s="2" t="n">
        <v>23725</v>
      </c>
    </row>
    <row r="3">
      <c r="A3" s="2" t="n">
        <v>1</v>
      </c>
      <c r="B3" s="2" t="n">
        <v>1746</v>
      </c>
      <c r="C3" s="3" t="n">
        <v>0.07359325605900949</v>
      </c>
      <c r="D3" s="2" t="n">
        <v>23725</v>
      </c>
    </row>
    <row r="4">
      <c r="A4" s="2" t="n">
        <v>2</v>
      </c>
      <c r="B4" s="2" t="n">
        <v>1822</v>
      </c>
      <c r="C4" s="3" t="n">
        <v>0.07679662802950474</v>
      </c>
      <c r="D4" s="2" t="n">
        <v>23725</v>
      </c>
    </row>
    <row r="5">
      <c r="A5" s="2" t="n">
        <v>3</v>
      </c>
      <c r="B5" s="2" t="n">
        <v>1868</v>
      </c>
      <c r="C5" s="3" t="n">
        <v>0.07873551106427819</v>
      </c>
      <c r="D5" s="2" t="n">
        <v>23725</v>
      </c>
    </row>
    <row r="6">
      <c r="A6" s="2" t="n">
        <v>4</v>
      </c>
      <c r="B6" s="2" t="n">
        <v>1790</v>
      </c>
      <c r="C6" s="3" t="n">
        <v>0.07544783983140148</v>
      </c>
      <c r="D6" s="2" t="n">
        <v>23725</v>
      </c>
    </row>
    <row r="7">
      <c r="A7" s="2" t="n">
        <v>5</v>
      </c>
      <c r="B7" s="2" t="n">
        <v>1816</v>
      </c>
      <c r="C7" s="3" t="n">
        <v>0.07654373024236039</v>
      </c>
      <c r="D7" s="2" t="n">
        <v>23725</v>
      </c>
    </row>
    <row r="8">
      <c r="A8" s="2" t="n">
        <v>6</v>
      </c>
      <c r="B8" s="2" t="n">
        <v>27527</v>
      </c>
      <c r="C8" s="3" t="n">
        <v>1.160252897787144</v>
      </c>
      <c r="D8" s="2" t="n">
        <v>23725</v>
      </c>
    </row>
    <row r="9">
      <c r="A9" s="2" t="n">
        <v>7</v>
      </c>
      <c r="B9" s="2" t="n">
        <v>59982</v>
      </c>
      <c r="C9" s="3" t="n">
        <v>2.528219178082192</v>
      </c>
      <c r="D9" s="2" t="n">
        <v>23725</v>
      </c>
    </row>
    <row r="10">
      <c r="A10" s="2" t="n">
        <v>8</v>
      </c>
      <c r="B10" s="2" t="n">
        <v>81300</v>
      </c>
      <c r="C10" s="3" t="n">
        <v>3.426765015806112</v>
      </c>
      <c r="D10" s="2" t="n">
        <v>23725</v>
      </c>
    </row>
    <row r="11">
      <c r="A11" s="2" t="n">
        <v>9</v>
      </c>
      <c r="B11" s="2" t="n">
        <v>59759</v>
      </c>
      <c r="C11" s="3" t="n">
        <v>2.51881981032666</v>
      </c>
      <c r="D11" s="2" t="n">
        <v>23725</v>
      </c>
    </row>
    <row r="12">
      <c r="A12" s="2" t="n">
        <v>10</v>
      </c>
      <c r="B12" s="2" t="n">
        <v>27675</v>
      </c>
      <c r="C12" s="3" t="n">
        <v>1.166491043203372</v>
      </c>
      <c r="D12" s="2" t="n">
        <v>23725</v>
      </c>
    </row>
    <row r="13">
      <c r="A13" s="2" t="n">
        <v>11</v>
      </c>
      <c r="B13" s="2" t="n">
        <v>14786</v>
      </c>
      <c r="C13" s="3" t="n">
        <v>0.6232244467860906</v>
      </c>
      <c r="D13" s="2" t="n">
        <v>23725</v>
      </c>
    </row>
    <row r="14">
      <c r="A14" s="2" t="n">
        <v>12</v>
      </c>
      <c r="B14" s="2" t="n">
        <v>12475</v>
      </c>
      <c r="C14" s="3" t="n">
        <v>0.5258166491043204</v>
      </c>
      <c r="D14" s="2" t="n">
        <v>23725</v>
      </c>
    </row>
    <row r="15">
      <c r="A15" s="2" t="n">
        <v>13</v>
      </c>
      <c r="B15" s="2" t="n">
        <v>12479</v>
      </c>
      <c r="C15" s="3" t="n">
        <v>0.5259852476290833</v>
      </c>
      <c r="D15" s="2" t="n">
        <v>23725</v>
      </c>
    </row>
    <row r="16">
      <c r="A16" s="2" t="n">
        <v>14</v>
      </c>
      <c r="B16" s="2" t="n">
        <v>14243</v>
      </c>
      <c r="C16" s="3" t="n">
        <v>0.6003371970495258</v>
      </c>
      <c r="D16" s="2" t="n">
        <v>23725</v>
      </c>
    </row>
    <row r="17">
      <c r="A17" s="2" t="n">
        <v>15</v>
      </c>
      <c r="B17" s="2" t="n">
        <v>24667</v>
      </c>
      <c r="C17" s="3" t="n">
        <v>1.039704952581665</v>
      </c>
      <c r="D17" s="2" t="n">
        <v>23725</v>
      </c>
    </row>
    <row r="18">
      <c r="A18" s="2" t="n">
        <v>16</v>
      </c>
      <c r="B18" s="2" t="n">
        <v>57480</v>
      </c>
      <c r="C18" s="3" t="n">
        <v>2.422760800842993</v>
      </c>
      <c r="D18" s="2" t="n">
        <v>23725</v>
      </c>
    </row>
    <row r="19">
      <c r="A19" s="2" t="n">
        <v>17</v>
      </c>
      <c r="B19" s="2" t="n">
        <v>96018</v>
      </c>
      <c r="C19" s="3" t="n">
        <v>4.047123287671233</v>
      </c>
      <c r="D19" s="2" t="n">
        <v>23725</v>
      </c>
    </row>
    <row r="20">
      <c r="A20" s="2" t="n">
        <v>18</v>
      </c>
      <c r="B20" s="2" t="n">
        <v>96072</v>
      </c>
      <c r="C20" s="3" t="n">
        <v>4.049399367755532</v>
      </c>
      <c r="D20" s="2" t="n">
        <v>23725</v>
      </c>
    </row>
    <row r="21">
      <c r="A21" s="2" t="n">
        <v>19</v>
      </c>
      <c r="B21" s="2" t="n">
        <v>57487</v>
      </c>
      <c r="C21" s="3" t="n">
        <v>2.423055848261328</v>
      </c>
      <c r="D21" s="2" t="n">
        <v>23725</v>
      </c>
    </row>
    <row r="22">
      <c r="A22" s="2" t="n">
        <v>20</v>
      </c>
      <c r="B22" s="2" t="n">
        <v>25080</v>
      </c>
      <c r="C22" s="3" t="n">
        <v>1.057112750263435</v>
      </c>
      <c r="D22" s="2" t="n">
        <v>23725</v>
      </c>
    </row>
    <row r="23">
      <c r="A23" s="2" t="n">
        <v>21</v>
      </c>
      <c r="B23" s="2" t="n">
        <v>14297</v>
      </c>
      <c r="C23" s="3" t="n">
        <v>0.6026132771338251</v>
      </c>
      <c r="D23" s="2" t="n">
        <v>23725</v>
      </c>
    </row>
    <row r="24">
      <c r="A24" s="2" t="n">
        <v>22</v>
      </c>
      <c r="B24" s="2" t="n">
        <v>12609</v>
      </c>
      <c r="C24" s="3" t="n">
        <v>0.5314646996838778</v>
      </c>
      <c r="D24" s="2" t="n">
        <v>23725</v>
      </c>
    </row>
    <row r="25">
      <c r="A25" s="2" t="n">
        <v>23</v>
      </c>
      <c r="B25" s="2" t="n">
        <v>1918</v>
      </c>
      <c r="C25" s="3" t="n">
        <v>0.08084299262381454</v>
      </c>
      <c r="D25" s="2" t="n">
        <v>23725</v>
      </c>
    </row>
  </sheetData>
  <autoFilter ref="A1:D25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21" customWidth="1" min="3" max="3"/>
    <col width="15" customWidth="1" min="4" max="4"/>
  </cols>
  <sheetData>
    <row r="1" ht="28" customHeight="1">
      <c r="A1" s="1" t="inlineStr">
        <is>
          <t>Day type</t>
        </is>
      </c>
      <c r="B1" s="1" t="inlineStr">
        <is>
          <t>Total boardings</t>
        </is>
      </c>
      <c r="C1" s="1" t="inlineStr">
        <is>
          <t>Mean per route-hour</t>
        </is>
      </c>
      <c r="D1" s="1" t="inlineStr">
        <is>
          <t>Route-hours</t>
        </is>
      </c>
    </row>
    <row r="2">
      <c r="A2" t="inlineStr">
        <is>
          <t>Weekday</t>
        </is>
      </c>
      <c r="B2" s="2" t="n">
        <v>571838</v>
      </c>
      <c r="C2" s="3" t="n">
        <v>1.404455251006975</v>
      </c>
      <c r="D2" s="2" t="n">
        <v>407160</v>
      </c>
    </row>
    <row r="3">
      <c r="A3" t="inlineStr">
        <is>
          <t>Weekend</t>
        </is>
      </c>
      <c r="B3" s="2" t="n">
        <v>134849</v>
      </c>
      <c r="C3" s="3" t="n">
        <v>0.8311698717948718</v>
      </c>
      <c r="D3" s="2" t="n">
        <v>162240</v>
      </c>
    </row>
    <row r="4"/>
    <row r="5">
      <c r="A5" t="inlineStr">
        <is>
          <t>Weekend vs weekday mean (%)</t>
        </is>
      </c>
      <c r="B5">
        <f>(C3/C2-1)*100</f>
        <v/>
      </c>
    </row>
  </sheetData>
  <autoFilter ref="A1:D3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15" customWidth="1" min="4" max="4"/>
    <col width="22" customWidth="1" min="5" max="5"/>
    <col width="15" customWidth="1" min="6" max="6"/>
  </cols>
  <sheetData>
    <row r="1" ht="28" customHeight="1">
      <c r="A1" s="1" t="inlineStr">
        <is>
          <t>City</t>
        </is>
      </c>
      <c r="B1" s="1" t="inlineStr">
        <is>
          <t>Route</t>
        </is>
      </c>
      <c r="C1" s="1" t="inlineStr">
        <is>
          <t>Mean delay (min)</t>
        </is>
      </c>
      <c r="D1" s="1" t="inlineStr">
        <is>
          <t>Hours &gt;5 min</t>
        </is>
      </c>
      <c r="E1" s="1" t="inlineStr">
        <is>
          <t>Share &gt;5 min</t>
        </is>
      </c>
      <c r="F1" s="1" t="inlineStr">
        <is>
          <t>Route-hours</t>
        </is>
      </c>
    </row>
    <row r="2">
      <c r="A2" t="inlineStr">
        <is>
          <t>Paris</t>
        </is>
      </c>
      <c r="B2" t="inlineStr">
        <is>
          <t>RT_PAR_004</t>
        </is>
      </c>
      <c r="C2" s="3" t="n">
        <v>1.135045662100457</v>
      </c>
      <c r="D2" s="2" t="n">
        <v>651</v>
      </c>
      <c r="E2" s="3" t="n">
        <v>0.07431506849315068</v>
      </c>
      <c r="F2" s="2" t="n">
        <v>8760</v>
      </c>
    </row>
    <row r="3">
      <c r="A3" t="inlineStr">
        <is>
          <t>Paris</t>
        </is>
      </c>
      <c r="B3" t="inlineStr">
        <is>
          <t>RT_PAR_014</t>
        </is>
      </c>
      <c r="C3" s="3" t="n">
        <v>1.158219178082192</v>
      </c>
      <c r="D3" s="2" t="n">
        <v>650</v>
      </c>
      <c r="E3" s="3" t="n">
        <v>0.07420091324200913</v>
      </c>
      <c r="F3" s="2" t="n">
        <v>8760</v>
      </c>
    </row>
    <row r="4">
      <c r="A4" t="inlineStr">
        <is>
          <t>New_York</t>
        </is>
      </c>
      <c r="B4" t="inlineStr">
        <is>
          <t>RT_NEW_008</t>
        </is>
      </c>
      <c r="C4" s="3" t="n">
        <v>1.16541095890411</v>
      </c>
      <c r="D4" s="2" t="n">
        <v>639</v>
      </c>
      <c r="E4" s="3" t="n">
        <v>0.07294520547945206</v>
      </c>
      <c r="F4" s="2" t="n">
        <v>8760</v>
      </c>
    </row>
    <row r="5">
      <c r="A5" t="inlineStr">
        <is>
          <t>London</t>
        </is>
      </c>
      <c r="B5" t="inlineStr">
        <is>
          <t>RT_LON_001</t>
        </is>
      </c>
      <c r="C5" s="3" t="n">
        <v>1.145433789954338</v>
      </c>
      <c r="D5" s="2" t="n">
        <v>639</v>
      </c>
      <c r="E5" s="3" t="n">
        <v>0.07294520547945206</v>
      </c>
      <c r="F5" s="2" t="n">
        <v>8760</v>
      </c>
    </row>
    <row r="6">
      <c r="A6" t="inlineStr">
        <is>
          <t>Singapore</t>
        </is>
      </c>
      <c r="B6" t="inlineStr">
        <is>
          <t>RT_SIN_005</t>
        </is>
      </c>
      <c r="C6" s="3" t="n">
        <v>1.115867579908676</v>
      </c>
      <c r="D6" s="2" t="n">
        <v>632</v>
      </c>
      <c r="E6" s="3" t="n">
        <v>0.07214611872146119</v>
      </c>
      <c r="F6" s="2" t="n">
        <v>8760</v>
      </c>
    </row>
    <row r="7">
      <c r="A7" t="inlineStr">
        <is>
          <t>London</t>
        </is>
      </c>
      <c r="B7" t="inlineStr">
        <is>
          <t>RT_LON_004</t>
        </is>
      </c>
      <c r="C7" s="3" t="n">
        <v>1.164383561643836</v>
      </c>
      <c r="D7" s="2" t="n">
        <v>631</v>
      </c>
      <c r="E7" s="3" t="n">
        <v>0.07203196347031963</v>
      </c>
      <c r="F7" s="2" t="n">
        <v>8760</v>
      </c>
    </row>
    <row r="8">
      <c r="A8" t="inlineStr">
        <is>
          <t>Tokyo</t>
        </is>
      </c>
      <c r="B8" t="inlineStr">
        <is>
          <t>RT_TOK_003</t>
        </is>
      </c>
      <c r="C8" s="3" t="n">
        <v>1.110844748858447</v>
      </c>
      <c r="D8" s="2" t="n">
        <v>627</v>
      </c>
      <c r="E8" s="3" t="n">
        <v>0.07157534246575342</v>
      </c>
      <c r="F8" s="2" t="n">
        <v>8760</v>
      </c>
    </row>
    <row r="9">
      <c r="A9" t="inlineStr">
        <is>
          <t>Tokyo</t>
        </is>
      </c>
      <c r="B9" t="inlineStr">
        <is>
          <t>RT_TOK_012</t>
        </is>
      </c>
      <c r="C9" s="3" t="n">
        <v>1.178082191780822</v>
      </c>
      <c r="D9" s="2" t="n">
        <v>617</v>
      </c>
      <c r="E9" s="3" t="n">
        <v>0.0704337899543379</v>
      </c>
      <c r="F9" s="2" t="n">
        <v>8760</v>
      </c>
    </row>
    <row r="10">
      <c r="A10" t="inlineStr">
        <is>
          <t>Tokyo</t>
        </is>
      </c>
      <c r="B10" t="inlineStr">
        <is>
          <t>RT_TOK_002</t>
        </is>
      </c>
      <c r="C10" s="3" t="n">
        <v>1.098287671232877</v>
      </c>
      <c r="D10" s="2" t="n">
        <v>616</v>
      </c>
      <c r="E10" s="3" t="n">
        <v>0.07031963470319634</v>
      </c>
      <c r="F10" s="2" t="n">
        <v>8760</v>
      </c>
    </row>
    <row r="11">
      <c r="A11" t="inlineStr">
        <is>
          <t>Singapore</t>
        </is>
      </c>
      <c r="B11" t="inlineStr">
        <is>
          <t>RT_SIN_002</t>
        </is>
      </c>
      <c r="C11" s="3" t="n">
        <v>1.068949771689498</v>
      </c>
      <c r="D11" s="2" t="n">
        <v>609</v>
      </c>
      <c r="E11" s="3" t="n">
        <v>0.06952054794520549</v>
      </c>
      <c r="F11" s="2" t="n">
        <v>8760</v>
      </c>
    </row>
    <row r="12">
      <c r="A12" t="inlineStr">
        <is>
          <t>Tokyo</t>
        </is>
      </c>
      <c r="B12" t="inlineStr">
        <is>
          <t>RT_TOK_009</t>
        </is>
      </c>
      <c r="C12" s="3" t="n">
        <v>1.101712328767123</v>
      </c>
      <c r="D12" s="2" t="n">
        <v>605</v>
      </c>
      <c r="E12" s="3" t="n">
        <v>0.06906392694063927</v>
      </c>
      <c r="F12" s="2" t="n">
        <v>8760</v>
      </c>
    </row>
    <row r="13">
      <c r="A13" t="inlineStr">
        <is>
          <t>Paris</t>
        </is>
      </c>
      <c r="B13" t="inlineStr">
        <is>
          <t>RT_PAR_015</t>
        </is>
      </c>
      <c r="C13" s="3" t="n">
        <v>1.114497716894977</v>
      </c>
      <c r="D13" s="2" t="n">
        <v>604</v>
      </c>
      <c r="E13" s="3" t="n">
        <v>0.06894977168949772</v>
      </c>
      <c r="F13" s="2" t="n">
        <v>8760</v>
      </c>
    </row>
    <row r="14">
      <c r="A14" t="inlineStr">
        <is>
          <t>Tokyo</t>
        </is>
      </c>
      <c r="B14" t="inlineStr">
        <is>
          <t>RT_TOK_001</t>
        </is>
      </c>
      <c r="C14" s="3" t="n">
        <v>1.09189497716895</v>
      </c>
      <c r="D14" s="2" t="n">
        <v>600</v>
      </c>
      <c r="E14" s="3" t="n">
        <v>0.0684931506849315</v>
      </c>
      <c r="F14" s="2" t="n">
        <v>8760</v>
      </c>
    </row>
    <row r="15">
      <c r="A15" t="inlineStr">
        <is>
          <t>London</t>
        </is>
      </c>
      <c r="B15" t="inlineStr">
        <is>
          <t>RT_LON_007</t>
        </is>
      </c>
      <c r="C15" s="3" t="n">
        <v>1.099315068493151</v>
      </c>
      <c r="D15" s="2" t="n">
        <v>596</v>
      </c>
      <c r="E15" s="3" t="n">
        <v>0.06803652968036529</v>
      </c>
      <c r="F15" s="2" t="n">
        <v>8760</v>
      </c>
    </row>
    <row r="16">
      <c r="A16" t="inlineStr">
        <is>
          <t>New_York</t>
        </is>
      </c>
      <c r="B16" t="inlineStr">
        <is>
          <t>RT_NEW_001</t>
        </is>
      </c>
      <c r="C16" s="3" t="n">
        <v>1.099200913242009</v>
      </c>
      <c r="D16" s="2" t="n">
        <v>590</v>
      </c>
      <c r="E16" s="3" t="n">
        <v>0.06735159817351598</v>
      </c>
      <c r="F16" s="2" t="n">
        <v>8760</v>
      </c>
    </row>
    <row r="17">
      <c r="A17" t="inlineStr">
        <is>
          <t>Tokyo</t>
        </is>
      </c>
      <c r="B17" t="inlineStr">
        <is>
          <t>RT_TOK_000</t>
        </is>
      </c>
      <c r="C17" s="3" t="n">
        <v>1.106963470319635</v>
      </c>
      <c r="D17" s="2" t="n">
        <v>583</v>
      </c>
      <c r="E17" s="3" t="n">
        <v>0.06655251141552511</v>
      </c>
      <c r="F17" s="2" t="n">
        <v>8760</v>
      </c>
    </row>
    <row r="18">
      <c r="A18" t="inlineStr">
        <is>
          <t>Paris</t>
        </is>
      </c>
      <c r="B18" t="inlineStr">
        <is>
          <t>RT_PAR_006</t>
        </is>
      </c>
      <c r="C18" s="3" t="n">
        <v>1.058333333333333</v>
      </c>
      <c r="D18" s="2" t="n">
        <v>583</v>
      </c>
      <c r="E18" s="3" t="n">
        <v>0.06655251141552511</v>
      </c>
      <c r="F18" s="2" t="n">
        <v>8760</v>
      </c>
    </row>
    <row r="19">
      <c r="A19" t="inlineStr">
        <is>
          <t>New_York</t>
        </is>
      </c>
      <c r="B19" t="inlineStr">
        <is>
          <t>RT_NEW_000</t>
        </is>
      </c>
      <c r="C19" s="3" t="n">
        <v>1.052511415525114</v>
      </c>
      <c r="D19" s="2" t="n">
        <v>579</v>
      </c>
      <c r="E19" s="3" t="n">
        <v>0.06609589041095891</v>
      </c>
      <c r="F19" s="2" t="n">
        <v>8760</v>
      </c>
    </row>
    <row r="20">
      <c r="A20" t="inlineStr">
        <is>
          <t>Berlin</t>
        </is>
      </c>
      <c r="B20" t="inlineStr">
        <is>
          <t>RT_BER_007</t>
        </is>
      </c>
      <c r="C20" s="3" t="n">
        <v>0.6728310502283105</v>
      </c>
      <c r="D20" s="2" t="n">
        <v>386</v>
      </c>
      <c r="E20" s="3" t="n">
        <v>0.04406392694063927</v>
      </c>
      <c r="F20" s="2" t="n">
        <v>8760</v>
      </c>
    </row>
    <row r="21">
      <c r="A21" t="inlineStr">
        <is>
          <t>New_York</t>
        </is>
      </c>
      <c r="B21" t="inlineStr">
        <is>
          <t>RT_NEW_004</t>
        </is>
      </c>
      <c r="C21" s="3" t="n">
        <v>0.6715753424657535</v>
      </c>
      <c r="D21" s="2" t="n">
        <v>371</v>
      </c>
      <c r="E21" s="3" t="n">
        <v>0.04235159817351598</v>
      </c>
      <c r="F21" s="2" t="n">
        <v>8760</v>
      </c>
    </row>
    <row r="22">
      <c r="A22" t="inlineStr">
        <is>
          <t>New_York</t>
        </is>
      </c>
      <c r="B22" t="inlineStr">
        <is>
          <t>RT_NEW_006</t>
        </is>
      </c>
      <c r="C22" s="3" t="n">
        <v>0.6655251141552512</v>
      </c>
      <c r="D22" s="2" t="n">
        <v>366</v>
      </c>
      <c r="E22" s="3" t="n">
        <v>0.04178082191780822</v>
      </c>
      <c r="F22" s="2" t="n">
        <v>8760</v>
      </c>
    </row>
    <row r="23">
      <c r="A23" t="inlineStr">
        <is>
          <t>London</t>
        </is>
      </c>
      <c r="B23" t="inlineStr">
        <is>
          <t>RT_LON_000</t>
        </is>
      </c>
      <c r="C23" s="3" t="n">
        <v>0.6131278538812786</v>
      </c>
      <c r="D23" s="2" t="n">
        <v>348</v>
      </c>
      <c r="E23" s="3" t="n">
        <v>0.03972602739726028</v>
      </c>
      <c r="F23" s="2" t="n">
        <v>8760</v>
      </c>
    </row>
    <row r="24">
      <c r="A24" t="inlineStr">
        <is>
          <t>Berlin</t>
        </is>
      </c>
      <c r="B24" t="inlineStr">
        <is>
          <t>RT_BER_005</t>
        </is>
      </c>
      <c r="C24" s="3" t="n">
        <v>0.6410958904109589</v>
      </c>
      <c r="D24" s="2" t="n">
        <v>346</v>
      </c>
      <c r="E24" s="3" t="n">
        <v>0.03949771689497717</v>
      </c>
      <c r="F24" s="2" t="n">
        <v>8760</v>
      </c>
    </row>
    <row r="25">
      <c r="A25" t="inlineStr">
        <is>
          <t>Berlin</t>
        </is>
      </c>
      <c r="B25" t="inlineStr">
        <is>
          <t>RT_BER_003</t>
        </is>
      </c>
      <c r="C25" s="3" t="n">
        <v>0.6265981735159817</v>
      </c>
      <c r="D25" s="2" t="n">
        <v>340</v>
      </c>
      <c r="E25" s="3" t="n">
        <v>0.03881278538812785</v>
      </c>
      <c r="F25" s="2" t="n">
        <v>8760</v>
      </c>
    </row>
    <row r="26">
      <c r="A26" t="inlineStr">
        <is>
          <t>London</t>
        </is>
      </c>
      <c r="B26" t="inlineStr">
        <is>
          <t>RT_LON_006</t>
        </is>
      </c>
      <c r="C26" s="3" t="n">
        <v>0.5966894977168949</v>
      </c>
      <c r="D26" s="2" t="n">
        <v>338</v>
      </c>
      <c r="E26" s="3" t="n">
        <v>0.03858447488584475</v>
      </c>
      <c r="F26" s="2" t="n">
        <v>8760</v>
      </c>
    </row>
    <row r="27">
      <c r="A27" t="inlineStr">
        <is>
          <t>Paris</t>
        </is>
      </c>
      <c r="B27" t="inlineStr">
        <is>
          <t>RT_PAR_002</t>
        </is>
      </c>
      <c r="C27" s="3" t="n">
        <v>0.6172374429223745</v>
      </c>
      <c r="D27" s="2" t="n">
        <v>336</v>
      </c>
      <c r="E27" s="3" t="n">
        <v>0.03835616438356165</v>
      </c>
      <c r="F27" s="2" t="n">
        <v>8760</v>
      </c>
    </row>
    <row r="28">
      <c r="A28" t="inlineStr">
        <is>
          <t>New_York</t>
        </is>
      </c>
      <c r="B28" t="inlineStr">
        <is>
          <t>RT_NEW_005</t>
        </is>
      </c>
      <c r="C28" s="3" t="n">
        <v>0.6002283105022831</v>
      </c>
      <c r="D28" s="2" t="n">
        <v>334</v>
      </c>
      <c r="E28" s="3" t="n">
        <v>0.03812785388127854</v>
      </c>
      <c r="F28" s="2" t="n">
        <v>8760</v>
      </c>
    </row>
    <row r="29">
      <c r="A29" t="inlineStr">
        <is>
          <t>Tokyo</t>
        </is>
      </c>
      <c r="B29" t="inlineStr">
        <is>
          <t>RT_TOK_010</t>
        </is>
      </c>
      <c r="C29" s="3" t="n">
        <v>0.5752283105022831</v>
      </c>
      <c r="D29" s="2" t="n">
        <v>334</v>
      </c>
      <c r="E29" s="3" t="n">
        <v>0.03812785388127854</v>
      </c>
      <c r="F29" s="2" t="n">
        <v>8760</v>
      </c>
    </row>
    <row r="30">
      <c r="A30" t="inlineStr">
        <is>
          <t>New_York</t>
        </is>
      </c>
      <c r="B30" t="inlineStr">
        <is>
          <t>RT_NEW_002</t>
        </is>
      </c>
      <c r="C30" s="3" t="n">
        <v>0.5992009132420091</v>
      </c>
      <c r="D30" s="2" t="n">
        <v>331</v>
      </c>
      <c r="E30" s="3" t="n">
        <v>0.03778538812785388</v>
      </c>
      <c r="F30" s="2" t="n">
        <v>8760</v>
      </c>
    </row>
    <row r="31">
      <c r="A31" t="inlineStr">
        <is>
          <t>Tokyo</t>
        </is>
      </c>
      <c r="B31" t="inlineStr">
        <is>
          <t>RT_TOK_011</t>
        </is>
      </c>
      <c r="C31" s="3" t="n">
        <v>0.5837899543378996</v>
      </c>
      <c r="D31" s="2" t="n">
        <v>329</v>
      </c>
      <c r="E31" s="3" t="n">
        <v>0.03755707762557078</v>
      </c>
      <c r="F31" s="2" t="n">
        <v>8760</v>
      </c>
    </row>
    <row r="32">
      <c r="A32" t="inlineStr">
        <is>
          <t>London</t>
        </is>
      </c>
      <c r="B32" t="inlineStr">
        <is>
          <t>RT_LON_009</t>
        </is>
      </c>
      <c r="C32" s="3" t="n">
        <v>0.5849315068493151</v>
      </c>
      <c r="D32" s="2" t="n">
        <v>325</v>
      </c>
      <c r="E32" s="3" t="n">
        <v>0.03710045662100456</v>
      </c>
      <c r="F32" s="2" t="n">
        <v>8760</v>
      </c>
    </row>
    <row r="33">
      <c r="A33" t="inlineStr">
        <is>
          <t>Paris</t>
        </is>
      </c>
      <c r="B33" t="inlineStr">
        <is>
          <t>RT_PAR_005</t>
        </is>
      </c>
      <c r="C33" s="3" t="n">
        <v>0.5908675799086758</v>
      </c>
      <c r="D33" s="2" t="n">
        <v>324</v>
      </c>
      <c r="E33" s="3" t="n">
        <v>0.03698630136986301</v>
      </c>
      <c r="F33" s="2" t="n">
        <v>8760</v>
      </c>
    </row>
    <row r="34">
      <c r="A34" t="inlineStr">
        <is>
          <t>Paris</t>
        </is>
      </c>
      <c r="B34" t="inlineStr">
        <is>
          <t>RT_PAR_012</t>
        </is>
      </c>
      <c r="C34" s="3" t="n">
        <v>0.5873287671232876</v>
      </c>
      <c r="D34" s="2" t="n">
        <v>322</v>
      </c>
      <c r="E34" s="3" t="n">
        <v>0.03675799086757991</v>
      </c>
      <c r="F34" s="2" t="n">
        <v>8760</v>
      </c>
    </row>
    <row r="35">
      <c r="A35" t="inlineStr">
        <is>
          <t>Berlin</t>
        </is>
      </c>
      <c r="B35" t="inlineStr">
        <is>
          <t>RT_BER_002</t>
        </is>
      </c>
      <c r="C35" s="3" t="n">
        <v>0.5829908675799087</v>
      </c>
      <c r="D35" s="2" t="n">
        <v>319</v>
      </c>
      <c r="E35" s="3" t="n">
        <v>0.03641552511415525</v>
      </c>
      <c r="F35" s="2" t="n">
        <v>8760</v>
      </c>
    </row>
    <row r="36">
      <c r="A36" t="inlineStr">
        <is>
          <t>Berlin</t>
        </is>
      </c>
      <c r="B36" t="inlineStr">
        <is>
          <t>RT_BER_006</t>
        </is>
      </c>
      <c r="C36" s="3" t="n">
        <v>0.5781963470319634</v>
      </c>
      <c r="D36" s="2" t="n">
        <v>316</v>
      </c>
      <c r="E36" s="3" t="n">
        <v>0.0360730593607306</v>
      </c>
      <c r="F36" s="2" t="n">
        <v>8760</v>
      </c>
    </row>
    <row r="37">
      <c r="A37" t="inlineStr">
        <is>
          <t>London</t>
        </is>
      </c>
      <c r="B37" t="inlineStr">
        <is>
          <t>RT_LON_010</t>
        </is>
      </c>
      <c r="C37" s="3" t="n">
        <v>0.6034246575342466</v>
      </c>
      <c r="D37" s="2" t="n">
        <v>314</v>
      </c>
      <c r="E37" s="3" t="n">
        <v>0.03584474885844749</v>
      </c>
      <c r="F37" s="2" t="n">
        <v>8760</v>
      </c>
    </row>
    <row r="38">
      <c r="A38" t="inlineStr">
        <is>
          <t>Paris</t>
        </is>
      </c>
      <c r="B38" t="inlineStr">
        <is>
          <t>RT_PAR_001</t>
        </is>
      </c>
      <c r="C38" s="3" t="n">
        <v>0.5624429223744293</v>
      </c>
      <c r="D38" s="2" t="n">
        <v>312</v>
      </c>
      <c r="E38" s="3" t="n">
        <v>0.03561643835616438</v>
      </c>
      <c r="F38" s="2" t="n">
        <v>8760</v>
      </c>
    </row>
    <row r="39">
      <c r="A39" t="inlineStr">
        <is>
          <t>Berlin</t>
        </is>
      </c>
      <c r="B39" t="inlineStr">
        <is>
          <t>RT_BER_008</t>
        </is>
      </c>
      <c r="C39" s="3" t="n">
        <v>0.5506849315068493</v>
      </c>
      <c r="D39" s="2" t="n">
        <v>303</v>
      </c>
      <c r="E39" s="3" t="n">
        <v>0.03458904109589041</v>
      </c>
      <c r="F39" s="2" t="n">
        <v>8760</v>
      </c>
    </row>
    <row r="40">
      <c r="A40" t="inlineStr">
        <is>
          <t>Paris</t>
        </is>
      </c>
      <c r="B40" t="inlineStr">
        <is>
          <t>RT_PAR_010</t>
        </is>
      </c>
      <c r="C40" s="3" t="n">
        <v>0.5273972602739726</v>
      </c>
      <c r="D40" s="2" t="n">
        <v>303</v>
      </c>
      <c r="E40" s="3" t="n">
        <v>0.03458904109589041</v>
      </c>
      <c r="F40" s="2" t="n">
        <v>8760</v>
      </c>
    </row>
    <row r="41">
      <c r="A41" t="inlineStr">
        <is>
          <t>Paris</t>
        </is>
      </c>
      <c r="B41" t="inlineStr">
        <is>
          <t>RT_PAR_007</t>
        </is>
      </c>
      <c r="C41" s="3" t="n">
        <v>0.5055936073059361</v>
      </c>
      <c r="D41" s="2" t="n">
        <v>285</v>
      </c>
      <c r="E41" s="3" t="n">
        <v>0.03253424657534246</v>
      </c>
      <c r="F41" s="2" t="n">
        <v>8760</v>
      </c>
    </row>
    <row r="42">
      <c r="A42" t="inlineStr">
        <is>
          <t>Paris</t>
        </is>
      </c>
      <c r="B42" t="inlineStr">
        <is>
          <t>RT_PAR_008</t>
        </is>
      </c>
      <c r="C42" s="3" t="n">
        <v>0.5020547945205479</v>
      </c>
      <c r="D42" s="2" t="n">
        <v>281</v>
      </c>
      <c r="E42" s="3" t="n">
        <v>0.03207762557077626</v>
      </c>
      <c r="F42" s="2" t="n">
        <v>8760</v>
      </c>
    </row>
    <row r="43">
      <c r="A43" t="inlineStr">
        <is>
          <t>London</t>
        </is>
      </c>
      <c r="B43" t="inlineStr">
        <is>
          <t>RT_LON_005</t>
        </is>
      </c>
      <c r="C43" s="3" t="n">
        <v>0.5174657534246575</v>
      </c>
      <c r="D43" s="2" t="n">
        <v>280</v>
      </c>
      <c r="E43" s="3" t="n">
        <v>0.0319634703196347</v>
      </c>
      <c r="F43" s="2" t="n">
        <v>8760</v>
      </c>
    </row>
    <row r="44">
      <c r="A44" t="inlineStr">
        <is>
          <t>Paris</t>
        </is>
      </c>
      <c r="B44" t="inlineStr">
        <is>
          <t>RT_PAR_009</t>
        </is>
      </c>
      <c r="C44" s="3" t="n">
        <v>0.4763698630136987</v>
      </c>
      <c r="D44" s="2" t="n">
        <v>275</v>
      </c>
      <c r="E44" s="3" t="n">
        <v>0.03139269406392694</v>
      </c>
      <c r="F44" s="2" t="n">
        <v>8760</v>
      </c>
    </row>
    <row r="45">
      <c r="A45" t="inlineStr">
        <is>
          <t>Berlin</t>
        </is>
      </c>
      <c r="B45" t="inlineStr">
        <is>
          <t>RT_BER_000</t>
        </is>
      </c>
      <c r="C45" s="3" t="n">
        <v>0.5012557077625571</v>
      </c>
      <c r="D45" s="2" t="n">
        <v>271</v>
      </c>
      <c r="E45" s="3" t="n">
        <v>0.03093607305936073</v>
      </c>
      <c r="F45" s="2" t="n">
        <v>8760</v>
      </c>
    </row>
    <row r="46">
      <c r="A46" t="inlineStr">
        <is>
          <t>Paris</t>
        </is>
      </c>
      <c r="B46" t="inlineStr">
        <is>
          <t>RT_PAR_011</t>
        </is>
      </c>
      <c r="C46" s="3" t="n">
        <v>0.491324200913242</v>
      </c>
      <c r="D46" s="2" t="n">
        <v>263</v>
      </c>
      <c r="E46" s="3" t="n">
        <v>0.03002283105022831</v>
      </c>
      <c r="F46" s="2" t="n">
        <v>8760</v>
      </c>
    </row>
    <row r="47">
      <c r="A47" t="inlineStr">
        <is>
          <t>Singapore</t>
        </is>
      </c>
      <c r="B47" t="inlineStr">
        <is>
          <t>RT_SIN_001</t>
        </is>
      </c>
      <c r="C47" s="3" t="n">
        <v>0.3892694063926941</v>
      </c>
      <c r="D47" s="2" t="n">
        <v>228</v>
      </c>
      <c r="E47" s="3" t="n">
        <v>0.02602739726027397</v>
      </c>
      <c r="F47" s="2" t="n">
        <v>8760</v>
      </c>
    </row>
    <row r="48">
      <c r="A48" t="inlineStr">
        <is>
          <t>Paris</t>
        </is>
      </c>
      <c r="B48" t="inlineStr">
        <is>
          <t>RT_PAR_000</t>
        </is>
      </c>
      <c r="C48" s="3" t="n">
        <v>0.4004566210045662</v>
      </c>
      <c r="D48" s="2" t="n">
        <v>224</v>
      </c>
      <c r="E48" s="3" t="n">
        <v>0.02557077625570776</v>
      </c>
      <c r="F48" s="2" t="n">
        <v>8760</v>
      </c>
    </row>
    <row r="49">
      <c r="A49" t="inlineStr">
        <is>
          <t>London</t>
        </is>
      </c>
      <c r="B49" t="inlineStr">
        <is>
          <t>RT_LON_003</t>
        </is>
      </c>
      <c r="C49" s="3" t="n">
        <v>0.3963470319634703</v>
      </c>
      <c r="D49" s="2" t="n">
        <v>221</v>
      </c>
      <c r="E49" s="3" t="n">
        <v>0.0252283105022831</v>
      </c>
      <c r="F49" s="2" t="n">
        <v>8760</v>
      </c>
    </row>
    <row r="50">
      <c r="A50" t="inlineStr">
        <is>
          <t>London</t>
        </is>
      </c>
      <c r="B50" t="inlineStr">
        <is>
          <t>RT_LON_002</t>
        </is>
      </c>
      <c r="C50" s="3" t="n">
        <v>0.4046803652968037</v>
      </c>
      <c r="D50" s="2" t="n">
        <v>219</v>
      </c>
      <c r="E50" s="3" t="n">
        <v>0.025</v>
      </c>
      <c r="F50" s="2" t="n">
        <v>8760</v>
      </c>
    </row>
    <row r="51">
      <c r="A51" t="inlineStr">
        <is>
          <t>Tokyo</t>
        </is>
      </c>
      <c r="B51" t="inlineStr">
        <is>
          <t>RT_TOK_007</t>
        </is>
      </c>
      <c r="C51" s="3" t="n">
        <v>0.4070776255707763</v>
      </c>
      <c r="D51" s="2" t="n">
        <v>216</v>
      </c>
      <c r="E51" s="3" t="n">
        <v>0.02465753424657534</v>
      </c>
      <c r="F51" s="2" t="n">
        <v>8760</v>
      </c>
    </row>
    <row r="52">
      <c r="A52" t="inlineStr">
        <is>
          <t>London</t>
        </is>
      </c>
      <c r="B52" t="inlineStr">
        <is>
          <t>RT_LON_008</t>
        </is>
      </c>
      <c r="C52" s="3" t="n">
        <v>0.3611872146118721</v>
      </c>
      <c r="D52" s="2" t="n">
        <v>214</v>
      </c>
      <c r="E52" s="3" t="n">
        <v>0.02442922374429224</v>
      </c>
      <c r="F52" s="2" t="n">
        <v>8760</v>
      </c>
    </row>
    <row r="53">
      <c r="A53" t="inlineStr">
        <is>
          <t>Tokyo</t>
        </is>
      </c>
      <c r="B53" t="inlineStr">
        <is>
          <t>RT_TOK_006</t>
        </is>
      </c>
      <c r="C53" s="3" t="n">
        <v>0.3840182648401826</v>
      </c>
      <c r="D53" s="2" t="n">
        <v>212</v>
      </c>
      <c r="E53" s="3" t="n">
        <v>0.02420091324200913</v>
      </c>
      <c r="F53" s="2" t="n">
        <v>8760</v>
      </c>
    </row>
    <row r="54">
      <c r="A54" t="inlineStr">
        <is>
          <t>Berlin</t>
        </is>
      </c>
      <c r="B54" t="inlineStr">
        <is>
          <t>RT_BER_004</t>
        </is>
      </c>
      <c r="C54" s="3" t="n">
        <v>0.3642694063926941</v>
      </c>
      <c r="D54" s="2" t="n">
        <v>209</v>
      </c>
      <c r="E54" s="3" t="n">
        <v>0.02385844748858448</v>
      </c>
      <c r="F54" s="2" t="n">
        <v>8760</v>
      </c>
    </row>
    <row r="55">
      <c r="A55" t="inlineStr">
        <is>
          <t>Paris</t>
        </is>
      </c>
      <c r="B55" t="inlineStr">
        <is>
          <t>RT_PAR_013</t>
        </is>
      </c>
      <c r="C55" s="3" t="n">
        <v>0.3624429223744292</v>
      </c>
      <c r="D55" s="2" t="n">
        <v>208</v>
      </c>
      <c r="E55" s="3" t="n">
        <v>0.02374429223744292</v>
      </c>
      <c r="F55" s="2" t="n">
        <v>8760</v>
      </c>
    </row>
    <row r="56">
      <c r="A56" t="inlineStr">
        <is>
          <t>New_York</t>
        </is>
      </c>
      <c r="B56" t="inlineStr">
        <is>
          <t>RT_NEW_007</t>
        </is>
      </c>
      <c r="C56" s="3" t="n">
        <v>0.3757990867579908</v>
      </c>
      <c r="D56" s="2" t="n">
        <v>206</v>
      </c>
      <c r="E56" s="3" t="n">
        <v>0.02351598173515982</v>
      </c>
      <c r="F56" s="2" t="n">
        <v>8760</v>
      </c>
    </row>
    <row r="57">
      <c r="A57" t="inlineStr">
        <is>
          <t>Singapore</t>
        </is>
      </c>
      <c r="B57" t="inlineStr">
        <is>
          <t>RT_SIN_003</t>
        </is>
      </c>
      <c r="C57" s="3" t="n">
        <v>0.3875570776255708</v>
      </c>
      <c r="D57" s="2" t="n">
        <v>205</v>
      </c>
      <c r="E57" s="3" t="n">
        <v>0.02340182648401826</v>
      </c>
      <c r="F57" s="2" t="n">
        <v>8760</v>
      </c>
    </row>
    <row r="58">
      <c r="A58" t="inlineStr">
        <is>
          <t>Berlin</t>
        </is>
      </c>
      <c r="B58" t="inlineStr">
        <is>
          <t>RT_BER_001</t>
        </is>
      </c>
      <c r="C58" s="3" t="n">
        <v>0.3720319634703196</v>
      </c>
      <c r="D58" s="2" t="n">
        <v>203</v>
      </c>
      <c r="E58" s="3" t="n">
        <v>0.02317351598173516</v>
      </c>
      <c r="F58" s="2" t="n">
        <v>8760</v>
      </c>
    </row>
    <row r="59">
      <c r="A59" t="inlineStr">
        <is>
          <t>Singapore</t>
        </is>
      </c>
      <c r="B59" t="inlineStr">
        <is>
          <t>RT_SIN_000</t>
        </is>
      </c>
      <c r="C59" s="3" t="n">
        <v>0.3808219178082192</v>
      </c>
      <c r="D59" s="2" t="n">
        <v>202</v>
      </c>
      <c r="E59" s="3" t="n">
        <v>0.02305936073059361</v>
      </c>
      <c r="F59" s="2" t="n">
        <v>8760</v>
      </c>
    </row>
    <row r="60">
      <c r="A60" t="inlineStr">
        <is>
          <t>Berlin</t>
        </is>
      </c>
      <c r="B60" t="inlineStr">
        <is>
          <t>RT_BER_009</t>
        </is>
      </c>
      <c r="C60" s="3" t="n">
        <v>0.3485159817351598</v>
      </c>
      <c r="D60" s="2" t="n">
        <v>202</v>
      </c>
      <c r="E60" s="3" t="n">
        <v>0.02305936073059361</v>
      </c>
      <c r="F60" s="2" t="n">
        <v>8760</v>
      </c>
    </row>
    <row r="61">
      <c r="A61" t="inlineStr">
        <is>
          <t>Tokyo</t>
        </is>
      </c>
      <c r="B61" t="inlineStr">
        <is>
          <t>RT_TOK_005</t>
        </is>
      </c>
      <c r="C61" s="3" t="n">
        <v>0.3751141552511416</v>
      </c>
      <c r="D61" s="2" t="n">
        <v>200</v>
      </c>
      <c r="E61" s="3" t="n">
        <v>0.0228310502283105</v>
      </c>
      <c r="F61" s="2" t="n">
        <v>8760</v>
      </c>
    </row>
    <row r="62">
      <c r="A62" t="inlineStr">
        <is>
          <t>Tokyo</t>
        </is>
      </c>
      <c r="B62" t="inlineStr">
        <is>
          <t>RT_TOK_008</t>
        </is>
      </c>
      <c r="C62" s="3" t="n">
        <v>0.3480593607305936</v>
      </c>
      <c r="D62" s="2" t="n">
        <v>199</v>
      </c>
      <c r="E62" s="3" t="n">
        <v>0.02271689497716895</v>
      </c>
      <c r="F62" s="2" t="n">
        <v>8760</v>
      </c>
    </row>
    <row r="63">
      <c r="A63" t="inlineStr">
        <is>
          <t>Paris</t>
        </is>
      </c>
      <c r="B63" t="inlineStr">
        <is>
          <t>RT_PAR_003</t>
        </is>
      </c>
      <c r="C63" s="3" t="n">
        <v>0.3585616438356165</v>
      </c>
      <c r="D63" s="2" t="n">
        <v>197</v>
      </c>
      <c r="E63" s="3" t="n">
        <v>0.02248858447488584</v>
      </c>
      <c r="F63" s="2" t="n">
        <v>8760</v>
      </c>
    </row>
    <row r="64">
      <c r="A64" t="inlineStr">
        <is>
          <t>Singapore</t>
        </is>
      </c>
      <c r="B64" t="inlineStr">
        <is>
          <t>RT_SIN_004</t>
        </is>
      </c>
      <c r="C64" s="3" t="n">
        <v>0.3606164383561644</v>
      </c>
      <c r="D64" s="2" t="n">
        <v>194</v>
      </c>
      <c r="E64" s="3" t="n">
        <v>0.02214611872146119</v>
      </c>
      <c r="F64" s="2" t="n">
        <v>8760</v>
      </c>
    </row>
    <row r="65">
      <c r="A65" t="inlineStr">
        <is>
          <t>New_York</t>
        </is>
      </c>
      <c r="B65" t="inlineStr">
        <is>
          <t>RT_NEW_003</t>
        </is>
      </c>
      <c r="C65" s="3" t="n">
        <v>0.3421232876712329</v>
      </c>
      <c r="D65" s="2" t="n">
        <v>187</v>
      </c>
      <c r="E65" s="3" t="n">
        <v>0.02134703196347032</v>
      </c>
      <c r="F65" s="2" t="n">
        <v>8760</v>
      </c>
    </row>
    <row r="66">
      <c r="A66" t="inlineStr">
        <is>
          <t>Tokyo</t>
        </is>
      </c>
      <c r="B66" t="inlineStr">
        <is>
          <t>RT_TOK_004</t>
        </is>
      </c>
      <c r="C66" s="3" t="n">
        <v>0.3070776255707763</v>
      </c>
      <c r="D66" s="2" t="n">
        <v>177</v>
      </c>
      <c r="E66" s="3" t="n">
        <v>0.02020547945205479</v>
      </c>
      <c r="F66" s="2" t="n">
        <v>8760</v>
      </c>
    </row>
  </sheetData>
  <autoFilter ref="A1:F66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  <col width="21" customWidth="1" min="3" max="3"/>
    <col width="15" customWidth="1" min="4" max="4"/>
  </cols>
  <sheetData>
    <row r="1" ht="28" customHeight="1">
      <c r="A1" s="1" t="inlineStr">
        <is>
          <t>Period</t>
        </is>
      </c>
      <c r="B1" s="1" t="inlineStr">
        <is>
          <t>Total boardings</t>
        </is>
      </c>
      <c r="C1" s="1" t="inlineStr">
        <is>
          <t>Mean per route-hour</t>
        </is>
      </c>
      <c r="D1" s="1" t="inlineStr">
        <is>
          <t>Route-hours</t>
        </is>
      </c>
    </row>
    <row r="2">
      <c r="A2" t="inlineStr">
        <is>
          <t>Normal</t>
        </is>
      </c>
      <c r="B2" s="2" t="n">
        <v>693063</v>
      </c>
      <c r="C2" s="3" t="n">
        <v>1.240980876665234</v>
      </c>
      <c r="D2" s="2" t="n">
        <v>558480</v>
      </c>
    </row>
    <row r="3">
      <c r="A3" t="inlineStr">
        <is>
          <t>Holiday</t>
        </is>
      </c>
      <c r="B3" s="2" t="n">
        <v>13624</v>
      </c>
      <c r="C3" s="3" t="n">
        <v>1.247619047619048</v>
      </c>
      <c r="D3" s="2" t="n">
        <v>10920</v>
      </c>
    </row>
    <row r="4"/>
    <row r="5">
      <c r="A5" t="inlineStr">
        <is>
          <t>Holiday vs normal mean (%)</t>
        </is>
      </c>
      <c r="B5">
        <f>(C3/C2-1)*100</f>
        <v/>
      </c>
    </row>
    <row r="6"/>
    <row r="7">
      <c r="A7" t="inlineStr">
        <is>
          <t>Special events</t>
        </is>
      </c>
      <c r="B7" t="inlineStr">
        <is>
          <t>Not available: no event indicator</t>
        </is>
      </c>
    </row>
    <row r="8">
      <c r="A8" t="inlineStr">
        <is>
          <t>Interpretation</t>
        </is>
      </c>
      <c r="B8" t="inlineStr">
        <is>
          <t>Observational; city, weekday and hour may confound differences</t>
        </is>
      </c>
    </row>
  </sheetData>
  <autoFilter ref="A1:D3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Target</t>
        </is>
      </c>
      <c r="B2" t="inlineStr">
        <is>
          <t>boarding_count</t>
        </is>
      </c>
    </row>
    <row r="3">
      <c r="A3" t="inlineStr">
        <is>
          <t>Unit</t>
        </is>
      </c>
      <c r="B3" t="inlineStr">
        <is>
          <t>city-route-hour</t>
        </is>
      </c>
    </row>
    <row r="4">
      <c r="A4" t="inlineStr">
        <is>
          <t>Train samples</t>
        </is>
      </c>
      <c r="B4" s="2" t="n">
        <v>455520</v>
      </c>
    </row>
    <row r="5">
      <c r="A5" t="inlineStr">
        <is>
          <t>Validation samples</t>
        </is>
      </c>
      <c r="B5" s="2" t="n">
        <v>56940</v>
      </c>
    </row>
    <row r="6">
      <c r="A6" t="inlineStr">
        <is>
          <t>Test MAE</t>
        </is>
      </c>
      <c r="B6" s="3" t="n">
        <v>0.4028831508434508</v>
      </c>
    </row>
    <row r="7">
      <c r="A7" t="inlineStr">
        <is>
          <t>Test RMSE</t>
        </is>
      </c>
      <c r="B7" s="3" t="n">
        <v>0.7936812169572116</v>
      </c>
    </row>
    <row r="8">
      <c r="A8" t="inlineStr">
        <is>
          <t>Test R²</t>
        </is>
      </c>
      <c r="B8" s="3" t="n">
        <v>0.8917717943436714</v>
      </c>
    </row>
    <row r="9">
      <c r="A9" t="inlineStr">
        <is>
          <t>Test samples</t>
        </is>
      </c>
      <c r="B9" s="2" t="n">
        <v>56940</v>
      </c>
    </row>
    <row r="10">
      <c r="A10" t="inlineStr">
        <is>
          <t>Baseline MAE</t>
        </is>
      </c>
      <c r="B10" s="3" t="n">
        <v>0.4250614682121531</v>
      </c>
    </row>
    <row r="11">
      <c r="A11" t="inlineStr">
        <is>
          <t>Baseline RMSE</t>
        </is>
      </c>
      <c r="B11" s="3" t="n">
        <v>0.9922159282087132</v>
      </c>
    </row>
    <row r="12">
      <c r="A12" t="inlineStr">
        <is>
          <t>Validation MAE</t>
        </is>
      </c>
      <c r="B12" s="3" t="n">
        <v>0.4050932194788115</v>
      </c>
    </row>
    <row r="13">
      <c r="A13" t="inlineStr">
        <is>
          <t>Validation RMSE</t>
        </is>
      </c>
      <c r="B13" s="3" t="n">
        <v>0.826462603024246</v>
      </c>
    </row>
    <row r="14">
      <c r="A14" t="inlineStr">
        <is>
          <t>Training seconds</t>
        </is>
      </c>
      <c r="B14" s="3" t="n">
        <v>106.0118422440064</v>
      </c>
    </row>
    <row r="15">
      <c r="A15" t="inlineStr">
        <is>
          <t>Trees</t>
        </is>
      </c>
      <c r="B15" s="2" t="n">
        <v>100</v>
      </c>
    </row>
    <row r="16">
      <c r="A16" t="inlineStr">
        <is>
          <t>Max depth</t>
        </is>
      </c>
      <c r="B16" s="2" t="n">
        <v>20</v>
      </c>
    </row>
    <row r="17">
      <c r="A17" t="inlineStr">
        <is>
          <t>Min leaf</t>
        </is>
      </c>
      <c r="B17" s="2" t="n">
        <v>2</v>
      </c>
    </row>
    <row r="18">
      <c r="A18" t="inlineStr">
        <is>
          <t>Bootstrap max samples</t>
        </is>
      </c>
      <c r="B18" s="3" t="n">
        <v>0.01</v>
      </c>
    </row>
    <row r="19">
      <c r="A19" t="inlineStr">
        <is>
          <t>Max features</t>
        </is>
      </c>
      <c r="B19" s="3" t="n">
        <v>0.5</v>
      </c>
    </row>
    <row r="20">
      <c r="A20" t="inlineStr">
        <is>
          <t>Random seed</t>
        </is>
      </c>
      <c r="B20" s="2" t="n">
        <v>42</v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2026-10-13T08:59:58Z</dcterms:created>
  <dcterms:modified xsi:type="dcterms:W3CDTF">2026-10-13T08:59:58Z</dcterms:modified>
</cp:coreProperties>
</file>